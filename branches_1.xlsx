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13_ncr:1_{047DC58F-2B39-4BBE-B222-FA35FAAF416A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heet1" sheetId="1" r:id="rId1"/>
    <sheet name="MT" sheetId="2" r:id="rId2"/>
    <sheet name="BT" sheetId="3" r:id="rId3"/>
    <sheet name="Trafos" sheetId="4" r:id="rId4"/>
    <sheet name="Re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3" l="1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<sst xmlns="http://schemas.openxmlformats.org/spreadsheetml/2006/main" count="477" uniqueCount="149">
  <si>
    <t>l</t>
  </si>
  <si>
    <t>k</t>
  </si>
  <si>
    <t>R</t>
  </si>
  <si>
    <t>X</t>
  </si>
  <si>
    <t>Imax</t>
  </si>
  <si>
    <t>q_rt</t>
  </si>
  <si>
    <t>m</t>
  </si>
  <si>
    <t>phase</t>
  </si>
  <si>
    <t>RG60.1</t>
  </si>
  <si>
    <t>632</t>
  </si>
  <si>
    <t>1,2,3</t>
  </si>
  <si>
    <t>670</t>
  </si>
  <si>
    <t>671</t>
  </si>
  <si>
    <t>680</t>
  </si>
  <si>
    <t>633</t>
  </si>
  <si>
    <t>645</t>
  </si>
  <si>
    <t>3,2</t>
  </si>
  <si>
    <t>646</t>
  </si>
  <si>
    <t>692</t>
  </si>
  <si>
    <t>675</t>
  </si>
  <si>
    <t>684</t>
  </si>
  <si>
    <t>1,3</t>
  </si>
  <si>
    <t>611</t>
  </si>
  <si>
    <t>3</t>
  </si>
  <si>
    <t>652</t>
  </si>
  <si>
    <t>1</t>
  </si>
  <si>
    <t>B010</t>
  </si>
  <si>
    <t>B011</t>
  </si>
  <si>
    <t>B012</t>
  </si>
  <si>
    <t>B013</t>
  </si>
  <si>
    <t>B014</t>
  </si>
  <si>
    <t>B020</t>
  </si>
  <si>
    <t>B021</t>
  </si>
  <si>
    <t>B022</t>
  </si>
  <si>
    <t>B023</t>
  </si>
  <si>
    <t>B024</t>
  </si>
  <si>
    <t>B030</t>
  </si>
  <si>
    <t>B031</t>
  </si>
  <si>
    <t>B032</t>
  </si>
  <si>
    <t>B033</t>
  </si>
  <si>
    <t>B034</t>
  </si>
  <si>
    <t>B040</t>
  </si>
  <si>
    <t>B041</t>
  </si>
  <si>
    <t>B042</t>
  </si>
  <si>
    <t>B043</t>
  </si>
  <si>
    <t>B044</t>
  </si>
  <si>
    <t>B050</t>
  </si>
  <si>
    <t>B051</t>
  </si>
  <si>
    <t>B052</t>
  </si>
  <si>
    <t>B053</t>
  </si>
  <si>
    <t>B054</t>
  </si>
  <si>
    <t>B060</t>
  </si>
  <si>
    <t>B061</t>
  </si>
  <si>
    <t>B062</t>
  </si>
  <si>
    <t>B063</t>
  </si>
  <si>
    <t>B064</t>
  </si>
  <si>
    <t>B070</t>
  </si>
  <si>
    <t>B071</t>
  </si>
  <si>
    <t>B072</t>
  </si>
  <si>
    <t>B073</t>
  </si>
  <si>
    <t>B074</t>
  </si>
  <si>
    <t>B080</t>
  </si>
  <si>
    <t>B081</t>
  </si>
  <si>
    <t>B082</t>
  </si>
  <si>
    <t>B083</t>
  </si>
  <si>
    <t>B084</t>
  </si>
  <si>
    <t>B090</t>
  </si>
  <si>
    <t>B091</t>
  </si>
  <si>
    <t>2</t>
  </si>
  <si>
    <t>B092</t>
  </si>
  <si>
    <t>B093</t>
  </si>
  <si>
    <t>B094</t>
  </si>
  <si>
    <t>B100</t>
  </si>
  <si>
    <t>B101</t>
  </si>
  <si>
    <t>B102</t>
  </si>
  <si>
    <t>B103</t>
  </si>
  <si>
    <t>B104</t>
  </si>
  <si>
    <t>B110</t>
  </si>
  <si>
    <t>B111</t>
  </si>
  <si>
    <t>B112</t>
  </si>
  <si>
    <t>B113</t>
  </si>
  <si>
    <t>B114</t>
  </si>
  <si>
    <t>SourceBus</t>
  </si>
  <si>
    <t>650</t>
  </si>
  <si>
    <t>RG60.2</t>
  </si>
  <si>
    <t>RG60.3</t>
  </si>
  <si>
    <t>Length_m</t>
  </si>
  <si>
    <t>Comentario</t>
  </si>
  <si>
    <t>RG60</t>
  </si>
  <si>
    <t>Ramo até o regulador / Cabo CAA 556.5 KCM 26/7F DOVE CL A , amapacidade em amperes</t>
  </si>
  <si>
    <t>Ampacidade: https://assets.southwire.com/adaptivemedia/rendition?id=6e40b948ad8bbb2c69490138659678cbf373c912&amp;prid=origin&amp;clid=SAPDAM (Penguin 4/0 AWG, pg2)</t>
  </si>
  <si>
    <t>Ampacidade: https://assets.southwire.com/adaptivemedia/rendition?id=6e40b948ad8bbb2c69490138659678cbf373c912&amp;prid=origin&amp;clid=SAPDAM (Raven 1/0 AWG, pg2)</t>
  </si>
  <si>
    <t>Ampacidade: https://www.lapptannehill.com/resources/technical-information/ampacity-chart 250 Kcmil ,60C</t>
  </si>
  <si>
    <t>Ampacidade: https://www.bayka.de/wp-content/uploads/2022/07/XLPE-insulated-low-voltage-cables.pdf</t>
  </si>
  <si>
    <t>Ampacidade: https://www.hongdacable.com/xlpe-insulated-single-core-120mm2-aluminum-cable.html</t>
  </si>
  <si>
    <t>trafo_id</t>
  </si>
  <si>
    <t>phases</t>
  </si>
  <si>
    <t>mv_bus</t>
  </si>
  <si>
    <t>lv_bus</t>
  </si>
  <si>
    <t>kv_mv</t>
  </si>
  <si>
    <t>kv_lv</t>
  </si>
  <si>
    <t>kva</t>
  </si>
  <si>
    <t>R_ohm</t>
  </si>
  <si>
    <t>X_ohm</t>
  </si>
  <si>
    <t>conn_mv</t>
  </si>
  <si>
    <t>conn_lv</t>
  </si>
  <si>
    <t>r_per</t>
  </si>
  <si>
    <t>XHL</t>
  </si>
  <si>
    <t>XLT</t>
  </si>
  <si>
    <t>Perdas Vazio kW</t>
  </si>
  <si>
    <t xml:space="preserve">Perdas Totais kW </t>
  </si>
  <si>
    <t>Sub</t>
  </si>
  <si>
    <t>Delta</t>
  </si>
  <si>
    <t>Wye</t>
  </si>
  <si>
    <t>Sub , conexao delta y</t>
  </si>
  <si>
    <t>XFM01</t>
  </si>
  <si>
    <t>XLT = 1 para perdas: https://www.weg.net/catalog/weg/BR/pt/IP00/Transformador-Seco-500-0kVA-13-8-0-22kV-CST-IP-00-AN/p/14543073</t>
  </si>
  <si>
    <t>XFM02</t>
  </si>
  <si>
    <t>XLT = 1</t>
  </si>
  <si>
    <t>XFM03</t>
  </si>
  <si>
    <t>XFM04</t>
  </si>
  <si>
    <t>XFM05</t>
  </si>
  <si>
    <t>XFM06</t>
  </si>
  <si>
    <t>XLT = 1 / Trafo monofasico, ligacao 0 porque não é importante. Perdas foram calculadas assumindo valores tipicos</t>
  </si>
  <si>
    <t>XFM07</t>
  </si>
  <si>
    <t>XLT = 1 / Trafo monofasico, ligacao 0 porque não é importante</t>
  </si>
  <si>
    <t>XFM08</t>
  </si>
  <si>
    <t>XFM09</t>
  </si>
  <si>
    <t>XFM10</t>
  </si>
  <si>
    <t>XFM11</t>
  </si>
  <si>
    <t>ptratio_V</t>
  </si>
  <si>
    <t>ctprim_A</t>
  </si>
  <si>
    <t>r_LDC_V</t>
  </si>
  <si>
    <t>X_LDC_V</t>
  </si>
  <si>
    <t>vreg_V</t>
  </si>
  <si>
    <t>band_V</t>
  </si>
  <si>
    <t>LoadLoss_per</t>
  </si>
  <si>
    <t>Delay_s</t>
  </si>
  <si>
    <t>maxtapchange</t>
  </si>
  <si>
    <t>tapdelay_s</t>
  </si>
  <si>
    <t>TapNum</t>
  </si>
  <si>
    <t>Step</t>
  </si>
  <si>
    <t>Taps</t>
  </si>
  <si>
    <t>Reg1</t>
  </si>
  <si>
    <t>[1 1.031]</t>
  </si>
  <si>
    <t>SVR, padrão/ Taps = Array of per unit taps for windings [1,2,…]</t>
  </si>
  <si>
    <t>Reg2</t>
  </si>
  <si>
    <t>SVR, padrão</t>
  </si>
  <si>
    <t>Reg3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</si>
</sst>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opLeftCell="A25" workbookViewId="0">
      <selection activeCell="A14" sqref="A14:H5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693</v>
      </c>
      <c r="D2">
        <v>2035.8</v>
      </c>
      <c r="F2">
        <v>1</v>
      </c>
      <c r="G2">
        <v>1</v>
      </c>
      <c r="H2" t="s">
        <v>10</v>
      </c>
    </row>
    <row r="3" spans="1:8" x14ac:dyDescent="0.25">
      <c r="A3" t="s">
        <v>9</v>
      </c>
      <c r="B3" t="s">
        <v>11</v>
      </c>
      <c r="C3">
        <v>231.1155</v>
      </c>
      <c r="D3">
        <v>678.9393</v>
      </c>
      <c r="F3">
        <v>0</v>
      </c>
      <c r="G3">
        <v>2</v>
      </c>
      <c r="H3" t="s">
        <v>10</v>
      </c>
    </row>
    <row r="4" spans="1:8" x14ac:dyDescent="0.25">
      <c r="A4" t="s">
        <v>11</v>
      </c>
      <c r="B4" t="s">
        <v>12</v>
      </c>
      <c r="C4">
        <v>461.88449999999989</v>
      </c>
      <c r="D4">
        <v>1356.8607</v>
      </c>
      <c r="F4">
        <v>0</v>
      </c>
      <c r="G4">
        <v>3</v>
      </c>
      <c r="H4" t="s">
        <v>10</v>
      </c>
    </row>
    <row r="5" spans="1:8" x14ac:dyDescent="0.25">
      <c r="A5" t="s">
        <v>12</v>
      </c>
      <c r="B5" t="s">
        <v>13</v>
      </c>
      <c r="C5">
        <v>346.5</v>
      </c>
      <c r="D5">
        <v>1017.9</v>
      </c>
      <c r="F5">
        <v>0</v>
      </c>
      <c r="G5">
        <v>4</v>
      </c>
      <c r="H5" t="s">
        <v>10</v>
      </c>
    </row>
    <row r="6" spans="1:8" x14ac:dyDescent="0.25">
      <c r="A6" t="s">
        <v>9</v>
      </c>
      <c r="B6" t="s">
        <v>14</v>
      </c>
      <c r="C6">
        <v>376.3</v>
      </c>
      <c r="D6">
        <v>590.70000000000005</v>
      </c>
      <c r="F6">
        <v>0</v>
      </c>
      <c r="G6">
        <v>5</v>
      </c>
      <c r="H6" t="s">
        <v>10</v>
      </c>
    </row>
    <row r="7" spans="1:8" x14ac:dyDescent="0.25">
      <c r="A7" t="s">
        <v>9</v>
      </c>
      <c r="B7" t="s">
        <v>15</v>
      </c>
      <c r="C7">
        <v>661.90000000000009</v>
      </c>
      <c r="D7">
        <v>678.45</v>
      </c>
      <c r="F7">
        <v>0</v>
      </c>
      <c r="G7">
        <v>6</v>
      </c>
      <c r="H7" t="s">
        <v>16</v>
      </c>
    </row>
    <row r="8" spans="1:8" x14ac:dyDescent="0.25">
      <c r="A8" t="s">
        <v>15</v>
      </c>
      <c r="B8" t="s">
        <v>17</v>
      </c>
      <c r="C8">
        <v>397.14</v>
      </c>
      <c r="D8">
        <v>407.07</v>
      </c>
      <c r="F8">
        <v>0</v>
      </c>
      <c r="G8">
        <v>7</v>
      </c>
      <c r="H8" t="s">
        <v>16</v>
      </c>
    </row>
    <row r="9" spans="1:8" x14ac:dyDescent="0.25">
      <c r="A9" t="s">
        <v>18</v>
      </c>
      <c r="B9" t="s">
        <v>19</v>
      </c>
      <c r="C9">
        <v>395.8605</v>
      </c>
      <c r="D9">
        <v>219.17599999999999</v>
      </c>
      <c r="F9">
        <v>0</v>
      </c>
      <c r="G9">
        <v>8</v>
      </c>
      <c r="H9" t="s">
        <v>10</v>
      </c>
    </row>
    <row r="10" spans="1:8" x14ac:dyDescent="0.25">
      <c r="A10" t="s">
        <v>12</v>
      </c>
      <c r="B10" t="s">
        <v>20</v>
      </c>
      <c r="C10">
        <v>397.14</v>
      </c>
      <c r="D10">
        <v>407.07</v>
      </c>
      <c r="F10">
        <v>0</v>
      </c>
      <c r="G10">
        <v>9</v>
      </c>
      <c r="H10" t="s">
        <v>21</v>
      </c>
    </row>
    <row r="11" spans="1:8" x14ac:dyDescent="0.25">
      <c r="A11" t="s">
        <v>20</v>
      </c>
      <c r="B11" t="s">
        <v>22</v>
      </c>
      <c r="C11">
        <v>398.76</v>
      </c>
      <c r="D11">
        <v>404.25</v>
      </c>
      <c r="F11">
        <v>0</v>
      </c>
      <c r="G11">
        <v>10</v>
      </c>
      <c r="H11" t="s">
        <v>23</v>
      </c>
    </row>
    <row r="12" spans="1:8" x14ac:dyDescent="0.25">
      <c r="A12" t="s">
        <v>20</v>
      </c>
      <c r="B12" t="s">
        <v>24</v>
      </c>
      <c r="C12">
        <v>1074</v>
      </c>
      <c r="D12">
        <v>409.92</v>
      </c>
      <c r="F12">
        <v>0</v>
      </c>
      <c r="G12">
        <v>11</v>
      </c>
      <c r="H12" t="s">
        <v>25</v>
      </c>
    </row>
    <row r="13" spans="1:8" x14ac:dyDescent="0.25">
      <c r="A13" t="s">
        <v>12</v>
      </c>
      <c r="B13" t="s">
        <v>18</v>
      </c>
      <c r="C13">
        <v>671.25</v>
      </c>
      <c r="D13">
        <v>256.2</v>
      </c>
      <c r="F13">
        <v>0</v>
      </c>
      <c r="G13">
        <v>12</v>
      </c>
      <c r="H13" t="s">
        <v>10</v>
      </c>
    </row>
    <row r="14" spans="1:8" x14ac:dyDescent="0.25">
      <c r="A14" t="s">
        <v>26</v>
      </c>
      <c r="B14" t="s">
        <v>27</v>
      </c>
      <c r="C14">
        <v>5.7000000000000002E-3</v>
      </c>
      <c r="D14">
        <v>1.7949999999999999E-3</v>
      </c>
      <c r="F14">
        <v>0</v>
      </c>
      <c r="G14">
        <v>13</v>
      </c>
      <c r="H14" t="s">
        <v>10</v>
      </c>
    </row>
    <row r="15" spans="1:8" x14ac:dyDescent="0.25">
      <c r="A15" t="s">
        <v>27</v>
      </c>
      <c r="B15" t="s">
        <v>28</v>
      </c>
      <c r="C15">
        <v>5.7000000000000002E-3</v>
      </c>
      <c r="D15">
        <v>1.7949999999999999E-3</v>
      </c>
      <c r="F15">
        <v>0</v>
      </c>
      <c r="G15">
        <v>14</v>
      </c>
      <c r="H15" t="s">
        <v>10</v>
      </c>
    </row>
    <row r="16" spans="1:8" x14ac:dyDescent="0.25">
      <c r="A16" t="s">
        <v>28</v>
      </c>
      <c r="B16" t="s">
        <v>29</v>
      </c>
      <c r="C16">
        <v>5.7000000000000002E-3</v>
      </c>
      <c r="D16">
        <v>1.7949999999999999E-3</v>
      </c>
      <c r="F16">
        <v>0</v>
      </c>
      <c r="G16">
        <v>15</v>
      </c>
      <c r="H16" t="s">
        <v>10</v>
      </c>
    </row>
    <row r="17" spans="1:8" x14ac:dyDescent="0.25">
      <c r="A17" t="s">
        <v>29</v>
      </c>
      <c r="B17" t="s">
        <v>30</v>
      </c>
      <c r="C17">
        <v>5.7000000000000002E-3</v>
      </c>
      <c r="D17">
        <v>1.7949999999999999E-3</v>
      </c>
      <c r="F17">
        <v>0</v>
      </c>
      <c r="G17">
        <v>16</v>
      </c>
      <c r="H17" t="s">
        <v>10</v>
      </c>
    </row>
    <row r="18" spans="1:8" x14ac:dyDescent="0.25">
      <c r="A18" t="s">
        <v>31</v>
      </c>
      <c r="B18" t="s">
        <v>32</v>
      </c>
      <c r="C18">
        <v>5.7000000000000002E-3</v>
      </c>
      <c r="D18">
        <v>1.7949999999999999E-3</v>
      </c>
      <c r="F18">
        <v>0</v>
      </c>
      <c r="G18">
        <v>17</v>
      </c>
      <c r="H18" t="s">
        <v>10</v>
      </c>
    </row>
    <row r="19" spans="1:8" x14ac:dyDescent="0.25">
      <c r="A19" t="s">
        <v>32</v>
      </c>
      <c r="B19" t="s">
        <v>33</v>
      </c>
      <c r="C19">
        <v>5.7000000000000002E-3</v>
      </c>
      <c r="D19">
        <v>1.7949999999999999E-3</v>
      </c>
      <c r="F19">
        <v>0</v>
      </c>
      <c r="G19">
        <v>18</v>
      </c>
      <c r="H19" t="s">
        <v>10</v>
      </c>
    </row>
    <row r="20" spans="1:8" x14ac:dyDescent="0.25">
      <c r="A20" t="s">
        <v>33</v>
      </c>
      <c r="B20" t="s">
        <v>34</v>
      </c>
      <c r="C20">
        <v>5.7000000000000002E-3</v>
      </c>
      <c r="D20">
        <v>1.7949999999999999E-3</v>
      </c>
      <c r="F20">
        <v>0</v>
      </c>
      <c r="G20">
        <v>19</v>
      </c>
      <c r="H20" t="s">
        <v>10</v>
      </c>
    </row>
    <row r="21" spans="1:8" x14ac:dyDescent="0.25">
      <c r="A21" t="s">
        <v>34</v>
      </c>
      <c r="B21" t="s">
        <v>35</v>
      </c>
      <c r="C21">
        <v>5.7000000000000002E-3</v>
      </c>
      <c r="D21">
        <v>1.7949999999999999E-3</v>
      </c>
      <c r="F21">
        <v>0</v>
      </c>
      <c r="G21">
        <v>20</v>
      </c>
      <c r="H21" t="s">
        <v>10</v>
      </c>
    </row>
    <row r="22" spans="1:8" x14ac:dyDescent="0.25">
      <c r="A22" t="s">
        <v>36</v>
      </c>
      <c r="B22" t="s">
        <v>37</v>
      </c>
      <c r="C22">
        <v>5.7000000000000002E-3</v>
      </c>
      <c r="D22">
        <v>1.7949999999999999E-3</v>
      </c>
      <c r="F22">
        <v>0</v>
      </c>
      <c r="G22">
        <v>21</v>
      </c>
      <c r="H22" t="s">
        <v>10</v>
      </c>
    </row>
    <row r="23" spans="1:8" x14ac:dyDescent="0.25">
      <c r="A23" t="s">
        <v>37</v>
      </c>
      <c r="B23" t="s">
        <v>38</v>
      </c>
      <c r="C23">
        <v>5.7000000000000002E-3</v>
      </c>
      <c r="D23">
        <v>1.7949999999999999E-3</v>
      </c>
      <c r="F23">
        <v>0</v>
      </c>
      <c r="G23">
        <v>22</v>
      </c>
      <c r="H23" t="s">
        <v>10</v>
      </c>
    </row>
    <row r="24" spans="1:8" x14ac:dyDescent="0.25">
      <c r="A24" t="s">
        <v>38</v>
      </c>
      <c r="B24" t="s">
        <v>39</v>
      </c>
      <c r="C24">
        <v>5.7000000000000002E-3</v>
      </c>
      <c r="D24">
        <v>1.7949999999999999E-3</v>
      </c>
      <c r="F24">
        <v>0</v>
      </c>
      <c r="G24">
        <v>23</v>
      </c>
      <c r="H24" t="s">
        <v>10</v>
      </c>
    </row>
    <row r="25" spans="1:8" x14ac:dyDescent="0.25">
      <c r="A25" t="s">
        <v>39</v>
      </c>
      <c r="B25" t="s">
        <v>40</v>
      </c>
      <c r="C25">
        <v>5.7000000000000002E-3</v>
      </c>
      <c r="D25">
        <v>1.7949999999999999E-3</v>
      </c>
      <c r="F25">
        <v>0</v>
      </c>
      <c r="G25">
        <v>24</v>
      </c>
      <c r="H25" t="s">
        <v>10</v>
      </c>
    </row>
    <row r="26" spans="1:8" x14ac:dyDescent="0.25">
      <c r="A26" t="s">
        <v>41</v>
      </c>
      <c r="B26" t="s">
        <v>42</v>
      </c>
      <c r="C26">
        <v>5.7000000000000002E-3</v>
      </c>
      <c r="D26">
        <v>1.7949999999999999E-3</v>
      </c>
      <c r="F26">
        <v>0</v>
      </c>
      <c r="G26">
        <v>25</v>
      </c>
      <c r="H26" t="s">
        <v>10</v>
      </c>
    </row>
    <row r="27" spans="1:8" x14ac:dyDescent="0.25">
      <c r="A27" t="s">
        <v>42</v>
      </c>
      <c r="B27" t="s">
        <v>43</v>
      </c>
      <c r="C27">
        <v>5.7000000000000002E-3</v>
      </c>
      <c r="D27">
        <v>1.7949999999999999E-3</v>
      </c>
      <c r="F27">
        <v>0</v>
      </c>
      <c r="G27">
        <v>26</v>
      </c>
      <c r="H27" t="s">
        <v>10</v>
      </c>
    </row>
    <row r="28" spans="1:8" x14ac:dyDescent="0.25">
      <c r="A28" t="s">
        <v>43</v>
      </c>
      <c r="B28" t="s">
        <v>44</v>
      </c>
      <c r="C28">
        <v>5.7000000000000002E-3</v>
      </c>
      <c r="D28">
        <v>1.7949999999999999E-3</v>
      </c>
      <c r="F28">
        <v>0</v>
      </c>
      <c r="G28">
        <v>27</v>
      </c>
      <c r="H28" t="s">
        <v>10</v>
      </c>
    </row>
    <row r="29" spans="1:8" x14ac:dyDescent="0.25">
      <c r="A29" t="s">
        <v>44</v>
      </c>
      <c r="B29" t="s">
        <v>45</v>
      </c>
      <c r="C29">
        <v>5.7000000000000002E-3</v>
      </c>
      <c r="D29">
        <v>1.7949999999999999E-3</v>
      </c>
      <c r="F29">
        <v>0</v>
      </c>
      <c r="G29">
        <v>28</v>
      </c>
      <c r="H29" t="s">
        <v>10</v>
      </c>
    </row>
    <row r="30" spans="1:8" x14ac:dyDescent="0.25">
      <c r="A30" t="s">
        <v>46</v>
      </c>
      <c r="B30" t="s">
        <v>47</v>
      </c>
      <c r="C30">
        <v>5.7000000000000002E-3</v>
      </c>
      <c r="D30">
        <v>1.7949999999999999E-3</v>
      </c>
      <c r="F30">
        <v>0</v>
      </c>
      <c r="G30">
        <v>29</v>
      </c>
      <c r="H30" t="s">
        <v>10</v>
      </c>
    </row>
    <row r="31" spans="1:8" x14ac:dyDescent="0.25">
      <c r="A31" t="s">
        <v>47</v>
      </c>
      <c r="B31" t="s">
        <v>48</v>
      </c>
      <c r="C31">
        <v>5.7000000000000002E-3</v>
      </c>
      <c r="D31">
        <v>1.7949999999999999E-3</v>
      </c>
      <c r="F31">
        <v>0</v>
      </c>
      <c r="G31">
        <v>30</v>
      </c>
      <c r="H31" t="s">
        <v>10</v>
      </c>
    </row>
    <row r="32" spans="1:8" x14ac:dyDescent="0.25">
      <c r="A32" t="s">
        <v>48</v>
      </c>
      <c r="B32" t="s">
        <v>49</v>
      </c>
      <c r="C32">
        <v>5.7000000000000002E-3</v>
      </c>
      <c r="D32">
        <v>1.7949999999999999E-3</v>
      </c>
      <c r="F32">
        <v>0</v>
      </c>
      <c r="G32">
        <v>31</v>
      </c>
      <c r="H32" t="s">
        <v>10</v>
      </c>
    </row>
    <row r="33" spans="1:8" x14ac:dyDescent="0.25">
      <c r="A33" t="s">
        <v>49</v>
      </c>
      <c r="B33" t="s">
        <v>50</v>
      </c>
      <c r="C33">
        <v>5.7000000000000002E-3</v>
      </c>
      <c r="D33">
        <v>1.7949999999999999E-3</v>
      </c>
      <c r="F33">
        <v>0</v>
      </c>
      <c r="G33">
        <v>32</v>
      </c>
      <c r="H33" t="s">
        <v>10</v>
      </c>
    </row>
    <row r="34" spans="1:8" x14ac:dyDescent="0.25">
      <c r="A34" t="s">
        <v>51</v>
      </c>
      <c r="B34" t="s">
        <v>52</v>
      </c>
      <c r="C34">
        <v>7.000000000000001E-3</v>
      </c>
      <c r="D34">
        <v>1.7849999999999999E-3</v>
      </c>
      <c r="F34">
        <v>0</v>
      </c>
      <c r="G34">
        <v>33</v>
      </c>
      <c r="H34" t="s">
        <v>25</v>
      </c>
    </row>
    <row r="35" spans="1:8" x14ac:dyDescent="0.25">
      <c r="A35" t="s">
        <v>52</v>
      </c>
      <c r="B35" t="s">
        <v>53</v>
      </c>
      <c r="C35">
        <v>7.000000000000001E-3</v>
      </c>
      <c r="D35">
        <v>1.7849999999999999E-3</v>
      </c>
      <c r="F35">
        <v>0</v>
      </c>
      <c r="G35">
        <v>34</v>
      </c>
      <c r="H35" t="s">
        <v>25</v>
      </c>
    </row>
    <row r="36" spans="1:8" x14ac:dyDescent="0.25">
      <c r="A36" t="s">
        <v>53</v>
      </c>
      <c r="B36" t="s">
        <v>54</v>
      </c>
      <c r="C36">
        <v>7.000000000000001E-3</v>
      </c>
      <c r="D36">
        <v>1.7849999999999999E-3</v>
      </c>
      <c r="F36">
        <v>0</v>
      </c>
      <c r="G36">
        <v>35</v>
      </c>
      <c r="H36" t="s">
        <v>25</v>
      </c>
    </row>
    <row r="37" spans="1:8" x14ac:dyDescent="0.25">
      <c r="A37" t="s">
        <v>54</v>
      </c>
      <c r="B37" t="s">
        <v>55</v>
      </c>
      <c r="C37">
        <v>7.000000000000001E-3</v>
      </c>
      <c r="D37">
        <v>1.7849999999999999E-3</v>
      </c>
      <c r="F37">
        <v>0</v>
      </c>
      <c r="G37">
        <v>36</v>
      </c>
      <c r="H37" t="s">
        <v>25</v>
      </c>
    </row>
    <row r="38" spans="1:8" x14ac:dyDescent="0.25">
      <c r="A38" t="s">
        <v>56</v>
      </c>
      <c r="B38" t="s">
        <v>57</v>
      </c>
      <c r="C38">
        <v>7.000000000000001E-3</v>
      </c>
      <c r="D38">
        <v>1.7849999999999999E-3</v>
      </c>
      <c r="F38">
        <v>0</v>
      </c>
      <c r="G38">
        <v>37</v>
      </c>
      <c r="H38" t="s">
        <v>25</v>
      </c>
    </row>
    <row r="39" spans="1:8" x14ac:dyDescent="0.25">
      <c r="A39" t="s">
        <v>57</v>
      </c>
      <c r="B39" t="s">
        <v>58</v>
      </c>
      <c r="C39">
        <v>7.000000000000001E-3</v>
      </c>
      <c r="D39">
        <v>1.7849999999999999E-3</v>
      </c>
      <c r="F39">
        <v>0</v>
      </c>
      <c r="G39">
        <v>38</v>
      </c>
      <c r="H39" t="s">
        <v>25</v>
      </c>
    </row>
    <row r="40" spans="1:8" x14ac:dyDescent="0.25">
      <c r="A40" t="s">
        <v>58</v>
      </c>
      <c r="B40" t="s">
        <v>59</v>
      </c>
      <c r="C40">
        <v>7.000000000000001E-3</v>
      </c>
      <c r="D40">
        <v>1.7849999999999999E-3</v>
      </c>
      <c r="F40">
        <v>0</v>
      </c>
      <c r="G40">
        <v>39</v>
      </c>
      <c r="H40" t="s">
        <v>25</v>
      </c>
    </row>
    <row r="41" spans="1:8" x14ac:dyDescent="0.25">
      <c r="A41" t="s">
        <v>59</v>
      </c>
      <c r="B41" t="s">
        <v>60</v>
      </c>
      <c r="C41">
        <v>7.000000000000001E-3</v>
      </c>
      <c r="D41">
        <v>1.7849999999999999E-3</v>
      </c>
      <c r="F41">
        <v>0</v>
      </c>
      <c r="G41">
        <v>40</v>
      </c>
      <c r="H41" t="s">
        <v>25</v>
      </c>
    </row>
    <row r="42" spans="1:8" x14ac:dyDescent="0.25">
      <c r="A42" t="s">
        <v>61</v>
      </c>
      <c r="B42" t="s">
        <v>62</v>
      </c>
      <c r="C42">
        <v>7.000000000000001E-3</v>
      </c>
      <c r="D42">
        <v>1.7849999999999999E-3</v>
      </c>
      <c r="F42">
        <v>0</v>
      </c>
      <c r="G42">
        <v>41</v>
      </c>
      <c r="H42" t="s">
        <v>23</v>
      </c>
    </row>
    <row r="43" spans="1:8" x14ac:dyDescent="0.25">
      <c r="A43" t="s">
        <v>62</v>
      </c>
      <c r="B43" t="s">
        <v>63</v>
      </c>
      <c r="C43">
        <v>7.000000000000001E-3</v>
      </c>
      <c r="D43">
        <v>1.7849999999999999E-3</v>
      </c>
      <c r="F43">
        <v>0</v>
      </c>
      <c r="G43">
        <v>42</v>
      </c>
      <c r="H43" t="s">
        <v>23</v>
      </c>
    </row>
    <row r="44" spans="1:8" x14ac:dyDescent="0.25">
      <c r="A44" t="s">
        <v>63</v>
      </c>
      <c r="B44" t="s">
        <v>64</v>
      </c>
      <c r="C44">
        <v>7.000000000000001E-3</v>
      </c>
      <c r="D44">
        <v>1.7849999999999999E-3</v>
      </c>
      <c r="F44">
        <v>0</v>
      </c>
      <c r="G44">
        <v>43</v>
      </c>
      <c r="H44" t="s">
        <v>23</v>
      </c>
    </row>
    <row r="45" spans="1:8" x14ac:dyDescent="0.25">
      <c r="A45" t="s">
        <v>64</v>
      </c>
      <c r="B45" t="s">
        <v>65</v>
      </c>
      <c r="C45">
        <v>7.000000000000001E-3</v>
      </c>
      <c r="D45">
        <v>1.7849999999999999E-3</v>
      </c>
      <c r="F45">
        <v>0</v>
      </c>
      <c r="G45">
        <v>44</v>
      </c>
      <c r="H45" t="s">
        <v>23</v>
      </c>
    </row>
    <row r="46" spans="1:8" x14ac:dyDescent="0.25">
      <c r="A46" t="s">
        <v>66</v>
      </c>
      <c r="B46" t="s">
        <v>67</v>
      </c>
      <c r="C46">
        <v>7.000000000000001E-3</v>
      </c>
      <c r="D46">
        <v>1.7849999999999999E-3</v>
      </c>
      <c r="F46">
        <v>0</v>
      </c>
      <c r="G46">
        <v>45</v>
      </c>
      <c r="H46" t="s">
        <v>68</v>
      </c>
    </row>
    <row r="47" spans="1:8" x14ac:dyDescent="0.25">
      <c r="A47" t="s">
        <v>67</v>
      </c>
      <c r="B47" t="s">
        <v>69</v>
      </c>
      <c r="C47">
        <v>7.000000000000001E-3</v>
      </c>
      <c r="D47">
        <v>1.7849999999999999E-3</v>
      </c>
      <c r="F47">
        <v>0</v>
      </c>
      <c r="G47">
        <v>46</v>
      </c>
      <c r="H47" t="s">
        <v>68</v>
      </c>
    </row>
    <row r="48" spans="1:8" x14ac:dyDescent="0.25">
      <c r="A48" t="s">
        <v>69</v>
      </c>
      <c r="B48" t="s">
        <v>70</v>
      </c>
      <c r="C48">
        <v>7.000000000000001E-3</v>
      </c>
      <c r="D48">
        <v>1.7849999999999999E-3</v>
      </c>
      <c r="F48">
        <v>0</v>
      </c>
      <c r="G48">
        <v>47</v>
      </c>
      <c r="H48" t="s">
        <v>68</v>
      </c>
    </row>
    <row r="49" spans="1:8" x14ac:dyDescent="0.25">
      <c r="A49" t="s">
        <v>70</v>
      </c>
      <c r="B49" t="s">
        <v>71</v>
      </c>
      <c r="C49">
        <v>7.000000000000001E-3</v>
      </c>
      <c r="D49">
        <v>1.7849999999999999E-3</v>
      </c>
      <c r="F49">
        <v>0</v>
      </c>
      <c r="G49">
        <v>48</v>
      </c>
      <c r="H49" t="s">
        <v>68</v>
      </c>
    </row>
    <row r="50" spans="1:8" x14ac:dyDescent="0.25">
      <c r="A50" t="s">
        <v>72</v>
      </c>
      <c r="B50" t="s">
        <v>73</v>
      </c>
      <c r="C50">
        <v>7.000000000000001E-3</v>
      </c>
      <c r="D50">
        <v>1.7849999999999999E-3</v>
      </c>
      <c r="F50">
        <v>0</v>
      </c>
      <c r="G50">
        <v>49</v>
      </c>
      <c r="H50" t="s">
        <v>23</v>
      </c>
    </row>
    <row r="51" spans="1:8" x14ac:dyDescent="0.25">
      <c r="A51" t="s">
        <v>73</v>
      </c>
      <c r="B51" t="s">
        <v>74</v>
      </c>
      <c r="C51">
        <v>7.000000000000001E-3</v>
      </c>
      <c r="D51">
        <v>1.7849999999999999E-3</v>
      </c>
      <c r="F51">
        <v>0</v>
      </c>
      <c r="G51">
        <v>50</v>
      </c>
      <c r="H51" t="s">
        <v>23</v>
      </c>
    </row>
    <row r="52" spans="1:8" x14ac:dyDescent="0.25">
      <c r="A52" t="s">
        <v>74</v>
      </c>
      <c r="B52" t="s">
        <v>75</v>
      </c>
      <c r="C52">
        <v>7.000000000000001E-3</v>
      </c>
      <c r="D52">
        <v>1.7849999999999999E-3</v>
      </c>
      <c r="F52">
        <v>0</v>
      </c>
      <c r="G52">
        <v>51</v>
      </c>
      <c r="H52" t="s">
        <v>23</v>
      </c>
    </row>
    <row r="53" spans="1:8" x14ac:dyDescent="0.25">
      <c r="A53" t="s">
        <v>75</v>
      </c>
      <c r="B53" t="s">
        <v>76</v>
      </c>
      <c r="C53">
        <v>7.000000000000001E-3</v>
      </c>
      <c r="D53">
        <v>1.7849999999999999E-3</v>
      </c>
      <c r="F53">
        <v>0</v>
      </c>
      <c r="G53">
        <v>52</v>
      </c>
      <c r="H53" t="s">
        <v>23</v>
      </c>
    </row>
    <row r="54" spans="1:8" x14ac:dyDescent="0.25">
      <c r="A54" t="s">
        <v>77</v>
      </c>
      <c r="B54" t="s">
        <v>78</v>
      </c>
      <c r="C54">
        <v>7.000000000000001E-3</v>
      </c>
      <c r="D54">
        <v>1.7849999999999999E-3</v>
      </c>
      <c r="F54">
        <v>0</v>
      </c>
      <c r="G54">
        <v>53</v>
      </c>
      <c r="H54" t="s">
        <v>68</v>
      </c>
    </row>
    <row r="55" spans="1:8" x14ac:dyDescent="0.25">
      <c r="A55" t="s">
        <v>78</v>
      </c>
      <c r="B55" t="s">
        <v>79</v>
      </c>
      <c r="C55">
        <v>7.000000000000001E-3</v>
      </c>
      <c r="D55">
        <v>1.7849999999999999E-3</v>
      </c>
      <c r="F55">
        <v>0</v>
      </c>
      <c r="G55">
        <v>54</v>
      </c>
      <c r="H55" t="s">
        <v>68</v>
      </c>
    </row>
    <row r="56" spans="1:8" x14ac:dyDescent="0.25">
      <c r="A56" t="s">
        <v>79</v>
      </c>
      <c r="B56" t="s">
        <v>80</v>
      </c>
      <c r="C56">
        <v>7.000000000000001E-3</v>
      </c>
      <c r="D56">
        <v>1.7849999999999999E-3</v>
      </c>
      <c r="F56">
        <v>0</v>
      </c>
      <c r="G56">
        <v>55</v>
      </c>
      <c r="H56" t="s">
        <v>68</v>
      </c>
    </row>
    <row r="57" spans="1:8" x14ac:dyDescent="0.25">
      <c r="A57" t="s">
        <v>80</v>
      </c>
      <c r="B57" t="s">
        <v>81</v>
      </c>
      <c r="C57">
        <v>7.000000000000001E-3</v>
      </c>
      <c r="D57">
        <v>1.7849999999999999E-3</v>
      </c>
      <c r="F57">
        <v>0</v>
      </c>
      <c r="G57">
        <v>56</v>
      </c>
      <c r="H57" t="s">
        <v>68</v>
      </c>
    </row>
    <row r="58" spans="1:8" x14ac:dyDescent="0.25">
      <c r="A58" t="s">
        <v>82</v>
      </c>
      <c r="B58" t="s">
        <v>83</v>
      </c>
      <c r="C58">
        <v>0</v>
      </c>
      <c r="D58">
        <v>0</v>
      </c>
      <c r="F58">
        <v>0</v>
      </c>
      <c r="G58">
        <v>57</v>
      </c>
      <c r="H58" t="s">
        <v>10</v>
      </c>
    </row>
    <row r="59" spans="1:8" x14ac:dyDescent="0.25">
      <c r="A59" t="s">
        <v>83</v>
      </c>
      <c r="B59" t="s">
        <v>8</v>
      </c>
      <c r="C59">
        <v>4.3217286914765908E-3</v>
      </c>
      <c r="D59">
        <v>1.296518607442977E-2</v>
      </c>
      <c r="F59">
        <v>1</v>
      </c>
      <c r="G59">
        <v>58</v>
      </c>
      <c r="H59" t="s">
        <v>25</v>
      </c>
    </row>
    <row r="60" spans="1:8" x14ac:dyDescent="0.25">
      <c r="A60" t="s">
        <v>83</v>
      </c>
      <c r="B60" t="s">
        <v>84</v>
      </c>
      <c r="C60">
        <v>4.3217286914765908E-3</v>
      </c>
      <c r="D60">
        <v>1.296518607442977E-2</v>
      </c>
      <c r="F60">
        <v>1</v>
      </c>
      <c r="G60">
        <v>59</v>
      </c>
      <c r="H60" t="s">
        <v>68</v>
      </c>
    </row>
    <row r="61" spans="1:8" x14ac:dyDescent="0.25">
      <c r="A61" t="s">
        <v>83</v>
      </c>
      <c r="B61" t="s">
        <v>85</v>
      </c>
      <c r="C61">
        <v>4.3217286914765908E-3</v>
      </c>
      <c r="D61">
        <v>1.296518607442977E-2</v>
      </c>
      <c r="F61">
        <v>1</v>
      </c>
      <c r="G61">
        <v>60</v>
      </c>
      <c r="H61" t="s">
        <v>23</v>
      </c>
    </row>
    <row r="62" spans="1:8" x14ac:dyDescent="0.25">
      <c r="A62" t="s">
        <v>14</v>
      </c>
      <c r="B62" t="s">
        <v>26</v>
      </c>
      <c r="C62">
        <v>0.19036159999999999</v>
      </c>
      <c r="D62">
        <v>0.69222399999999995</v>
      </c>
      <c r="F62">
        <v>0</v>
      </c>
      <c r="G62">
        <v>61</v>
      </c>
      <c r="H62" t="s">
        <v>10</v>
      </c>
    </row>
    <row r="63" spans="1:8" x14ac:dyDescent="0.25">
      <c r="A63" t="s">
        <v>19</v>
      </c>
      <c r="B63" t="s">
        <v>31</v>
      </c>
      <c r="C63">
        <v>0.19036159999999999</v>
      </c>
      <c r="D63">
        <v>0.69222399999999995</v>
      </c>
      <c r="F63">
        <v>0</v>
      </c>
      <c r="G63">
        <v>62</v>
      </c>
      <c r="H63" t="s">
        <v>10</v>
      </c>
    </row>
    <row r="64" spans="1:8" x14ac:dyDescent="0.25">
      <c r="A64" t="s">
        <v>19</v>
      </c>
      <c r="B64" t="s">
        <v>36</v>
      </c>
      <c r="C64">
        <v>0.19036159999999999</v>
      </c>
      <c r="D64">
        <v>0.69222399999999995</v>
      </c>
      <c r="F64">
        <v>0</v>
      </c>
      <c r="G64">
        <v>63</v>
      </c>
      <c r="H64" t="s">
        <v>10</v>
      </c>
    </row>
    <row r="65" spans="1:8" x14ac:dyDescent="0.25">
      <c r="A65" t="s">
        <v>13</v>
      </c>
      <c r="B65" t="s">
        <v>41</v>
      </c>
      <c r="C65">
        <v>0.19036159999999999</v>
      </c>
      <c r="D65">
        <v>0.69222399999999995</v>
      </c>
      <c r="F65">
        <v>0</v>
      </c>
      <c r="G65">
        <v>64</v>
      </c>
      <c r="H65" t="s">
        <v>10</v>
      </c>
    </row>
    <row r="66" spans="1:8" x14ac:dyDescent="0.25">
      <c r="A66" t="s">
        <v>12</v>
      </c>
      <c r="B66" t="s">
        <v>46</v>
      </c>
      <c r="C66">
        <v>0.19036159999999999</v>
      </c>
      <c r="D66">
        <v>0.69222399999999995</v>
      </c>
      <c r="F66">
        <v>0</v>
      </c>
      <c r="G66">
        <v>65</v>
      </c>
      <c r="H66" t="s">
        <v>10</v>
      </c>
    </row>
    <row r="67" spans="1:8" x14ac:dyDescent="0.25">
      <c r="A67" t="s">
        <v>18</v>
      </c>
      <c r="B67" t="s">
        <v>51</v>
      </c>
      <c r="C67">
        <v>0.2112</v>
      </c>
      <c r="D67">
        <v>0.76800000000000002</v>
      </c>
      <c r="F67">
        <v>0</v>
      </c>
      <c r="G67">
        <v>66</v>
      </c>
      <c r="H67" t="s">
        <v>25</v>
      </c>
    </row>
    <row r="68" spans="1:8" x14ac:dyDescent="0.25">
      <c r="A68" t="s">
        <v>24</v>
      </c>
      <c r="B68" t="s">
        <v>56</v>
      </c>
      <c r="C68">
        <v>0.2112</v>
      </c>
      <c r="D68">
        <v>0.76800000000000002</v>
      </c>
      <c r="F68">
        <v>0</v>
      </c>
      <c r="G68">
        <v>67</v>
      </c>
      <c r="H68" t="s">
        <v>25</v>
      </c>
    </row>
    <row r="69" spans="1:8" x14ac:dyDescent="0.25">
      <c r="A69" t="s">
        <v>22</v>
      </c>
      <c r="B69" t="s">
        <v>61</v>
      </c>
      <c r="C69">
        <v>0.2112</v>
      </c>
      <c r="D69">
        <v>0.76800000000000002</v>
      </c>
      <c r="F69">
        <v>0</v>
      </c>
      <c r="G69">
        <v>68</v>
      </c>
      <c r="H69" t="s">
        <v>23</v>
      </c>
    </row>
    <row r="70" spans="1:8" x14ac:dyDescent="0.25">
      <c r="A70" t="s">
        <v>17</v>
      </c>
      <c r="B70" t="s">
        <v>66</v>
      </c>
      <c r="C70">
        <v>0.2112</v>
      </c>
      <c r="D70">
        <v>0.76800000000000002</v>
      </c>
      <c r="F70">
        <v>0</v>
      </c>
      <c r="G70">
        <v>69</v>
      </c>
      <c r="H70" t="s">
        <v>68</v>
      </c>
    </row>
    <row r="71" spans="1:8" x14ac:dyDescent="0.25">
      <c r="A71" t="s">
        <v>17</v>
      </c>
      <c r="B71" t="s">
        <v>72</v>
      </c>
      <c r="C71">
        <v>0.2112</v>
      </c>
      <c r="D71">
        <v>0.76800000000000002</v>
      </c>
      <c r="F71">
        <v>0</v>
      </c>
      <c r="G71">
        <v>70</v>
      </c>
      <c r="H71" t="s">
        <v>23</v>
      </c>
    </row>
    <row r="72" spans="1:8" x14ac:dyDescent="0.25">
      <c r="A72" t="s">
        <v>15</v>
      </c>
      <c r="B72" t="s">
        <v>77</v>
      </c>
      <c r="C72">
        <v>0.2112</v>
      </c>
      <c r="D72">
        <v>0.76800000000000002</v>
      </c>
      <c r="F72">
        <v>0</v>
      </c>
      <c r="G72">
        <v>71</v>
      </c>
      <c r="H72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selection activeCell="E14" sqref="E14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86</v>
      </c>
      <c r="J1" s="2" t="s">
        <v>87</v>
      </c>
    </row>
    <row r="2" spans="1:10" x14ac:dyDescent="0.25">
      <c r="A2">
        <v>632</v>
      </c>
      <c r="B2" t="s">
        <v>88</v>
      </c>
      <c r="C2">
        <v>4.3157000000000001E-2</v>
      </c>
      <c r="D2">
        <v>0.130493</v>
      </c>
      <c r="E2">
        <v>730</v>
      </c>
      <c r="F2">
        <v>0</v>
      </c>
      <c r="G2">
        <v>1</v>
      </c>
      <c r="H2" t="s">
        <v>10</v>
      </c>
      <c r="I2">
        <f>2000/3.281</f>
        <v>609.57025297165501</v>
      </c>
      <c r="J2" t="s">
        <v>89</v>
      </c>
    </row>
    <row r="3" spans="1:10" x14ac:dyDescent="0.25">
      <c r="A3">
        <v>632</v>
      </c>
      <c r="B3">
        <v>670</v>
      </c>
      <c r="C3">
        <v>1.4393E-2</v>
      </c>
      <c r="D3">
        <v>4.3519000000000002E-2</v>
      </c>
      <c r="E3">
        <v>730</v>
      </c>
      <c r="F3">
        <v>0</v>
      </c>
      <c r="G3">
        <v>2</v>
      </c>
      <c r="H3" t="s">
        <v>10</v>
      </c>
      <c r="I3">
        <f>667/3.281</f>
        <v>203.29167936604694</v>
      </c>
    </row>
    <row r="4" spans="1:10" x14ac:dyDescent="0.25">
      <c r="A4">
        <v>670</v>
      </c>
      <c r="B4">
        <v>671</v>
      </c>
      <c r="C4">
        <v>2.8764000000000001E-2</v>
      </c>
      <c r="D4">
        <v>8.6972999999999995E-2</v>
      </c>
      <c r="E4">
        <v>730</v>
      </c>
      <c r="F4">
        <v>0</v>
      </c>
      <c r="G4">
        <v>3</v>
      </c>
      <c r="H4" t="s">
        <v>10</v>
      </c>
      <c r="I4">
        <f>1333/3.281</f>
        <v>406.27857360560802</v>
      </c>
    </row>
    <row r="5" spans="1:10" x14ac:dyDescent="0.25">
      <c r="A5">
        <v>671</v>
      </c>
      <c r="B5">
        <v>680</v>
      </c>
      <c r="C5">
        <v>2.1578E-2</v>
      </c>
      <c r="D5">
        <v>6.5245999999999998E-2</v>
      </c>
      <c r="E5">
        <v>730</v>
      </c>
      <c r="F5">
        <v>0</v>
      </c>
      <c r="G5">
        <v>4</v>
      </c>
      <c r="H5" t="s">
        <v>10</v>
      </c>
      <c r="I5">
        <f>1000/3.281</f>
        <v>304.7851264858275</v>
      </c>
    </row>
    <row r="6" spans="1:10" x14ac:dyDescent="0.25">
      <c r="A6">
        <v>632</v>
      </c>
      <c r="B6">
        <v>633</v>
      </c>
      <c r="C6">
        <v>2.3608000000000001E-2</v>
      </c>
      <c r="D6">
        <v>3.7782999999999997E-2</v>
      </c>
      <c r="E6">
        <v>357</v>
      </c>
      <c r="F6">
        <v>0</v>
      </c>
      <c r="G6">
        <v>5</v>
      </c>
      <c r="H6" t="s">
        <v>10</v>
      </c>
      <c r="I6">
        <f>500/3.281</f>
        <v>152.39256324291375</v>
      </c>
      <c r="J6" t="s">
        <v>90</v>
      </c>
    </row>
    <row r="7" spans="1:10" x14ac:dyDescent="0.25">
      <c r="A7">
        <v>632</v>
      </c>
      <c r="B7">
        <v>645</v>
      </c>
      <c r="C7">
        <v>6.2812999999999994E-2</v>
      </c>
      <c r="D7">
        <v>6.4015000000000002E-2</v>
      </c>
      <c r="E7">
        <v>242</v>
      </c>
      <c r="F7">
        <v>0</v>
      </c>
      <c r="G7">
        <v>6</v>
      </c>
      <c r="H7" t="s">
        <v>16</v>
      </c>
      <c r="I7">
        <f>500/3.281</f>
        <v>152.39256324291375</v>
      </c>
      <c r="J7" t="s">
        <v>91</v>
      </c>
    </row>
    <row r="8" spans="1:10" x14ac:dyDescent="0.25">
      <c r="A8">
        <v>645</v>
      </c>
      <c r="B8">
        <v>646</v>
      </c>
      <c r="C8">
        <v>3.7687999999999999E-2</v>
      </c>
      <c r="D8">
        <v>3.8408999999999999E-2</v>
      </c>
      <c r="E8">
        <v>242</v>
      </c>
      <c r="F8">
        <v>0</v>
      </c>
      <c r="G8">
        <v>7</v>
      </c>
      <c r="H8" t="s">
        <v>16</v>
      </c>
      <c r="I8">
        <f>300/3.281</f>
        <v>91.435537945748237</v>
      </c>
    </row>
    <row r="9" spans="1:10" x14ac:dyDescent="0.25">
      <c r="A9">
        <v>692</v>
      </c>
      <c r="B9">
        <v>675</v>
      </c>
      <c r="C9">
        <v>2.4885000000000001E-2</v>
      </c>
      <c r="D9">
        <v>1.3398999999999999E-2</v>
      </c>
      <c r="E9">
        <v>215</v>
      </c>
      <c r="F9">
        <v>0</v>
      </c>
      <c r="G9">
        <v>8</v>
      </c>
      <c r="H9" t="s">
        <v>10</v>
      </c>
      <c r="I9">
        <f>500/3.281</f>
        <v>152.39256324291375</v>
      </c>
      <c r="J9" t="s">
        <v>92</v>
      </c>
    </row>
    <row r="10" spans="1:10" x14ac:dyDescent="0.25">
      <c r="A10">
        <v>671</v>
      </c>
      <c r="B10">
        <v>684</v>
      </c>
      <c r="C10">
        <v>3.7687999999999999E-2</v>
      </c>
      <c r="D10">
        <v>3.8408999999999999E-2</v>
      </c>
      <c r="E10">
        <v>242</v>
      </c>
      <c r="F10">
        <v>0</v>
      </c>
      <c r="G10">
        <v>9</v>
      </c>
      <c r="H10" t="s">
        <v>21</v>
      </c>
      <c r="I10">
        <f>300/3.281</f>
        <v>91.435537945748237</v>
      </c>
      <c r="J10" t="s">
        <v>91</v>
      </c>
    </row>
    <row r="11" spans="1:10" x14ac:dyDescent="0.25">
      <c r="A11">
        <v>684</v>
      </c>
      <c r="B11">
        <v>611</v>
      </c>
      <c r="C11">
        <v>7.5523000000000007E-2</v>
      </c>
      <c r="D11">
        <v>7.6563000000000006E-2</v>
      </c>
      <c r="E11">
        <v>242</v>
      </c>
      <c r="F11">
        <v>0</v>
      </c>
      <c r="G11">
        <v>10</v>
      </c>
      <c r="H11">
        <v>3</v>
      </c>
      <c r="I11">
        <f>300/3.281</f>
        <v>91.435537945748237</v>
      </c>
      <c r="J11" t="s">
        <v>91</v>
      </c>
    </row>
    <row r="12" spans="1:10" x14ac:dyDescent="0.25">
      <c r="A12">
        <v>684</v>
      </c>
      <c r="B12">
        <v>652</v>
      </c>
      <c r="C12">
        <v>0.20341000000000001</v>
      </c>
      <c r="D12">
        <v>7.7636999999999998E-2</v>
      </c>
      <c r="E12">
        <v>242</v>
      </c>
      <c r="F12">
        <v>0</v>
      </c>
      <c r="G12">
        <v>11</v>
      </c>
      <c r="H12">
        <v>1</v>
      </c>
      <c r="I12">
        <f>800/3.281</f>
        <v>243.82810118866198</v>
      </c>
      <c r="J12" t="s">
        <v>91</v>
      </c>
    </row>
    <row r="13" spans="1:10" x14ac:dyDescent="0.25">
      <c r="A13">
        <v>671</v>
      </c>
      <c r="B13">
        <v>692</v>
      </c>
      <c r="C13">
        <v>0.12713099999999999</v>
      </c>
      <c r="D13">
        <v>4.8522999999999997E-2</v>
      </c>
      <c r="E13">
        <v>730</v>
      </c>
      <c r="F13">
        <v>0</v>
      </c>
      <c r="G13">
        <v>12</v>
      </c>
      <c r="H13" t="s">
        <v>10</v>
      </c>
      <c r="I13">
        <f>500/3.281</f>
        <v>152.39256324291375</v>
      </c>
      <c r="J13" t="s">
        <v>91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5"/>
  <sheetViews>
    <sheetView workbookViewId="0">
      <selection sqref="A1:I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86</v>
      </c>
      <c r="J1" s="2" t="s">
        <v>87</v>
      </c>
    </row>
    <row r="2" spans="1:10" x14ac:dyDescent="0.25">
      <c r="A2" t="s">
        <v>26</v>
      </c>
      <c r="B2" t="s">
        <v>27</v>
      </c>
      <c r="C2">
        <v>4.5599999999999998E-3</v>
      </c>
      <c r="D2">
        <v>1.42E-3</v>
      </c>
      <c r="E2">
        <v>305</v>
      </c>
      <c r="F2">
        <v>0</v>
      </c>
      <c r="G2">
        <v>13</v>
      </c>
      <c r="H2" t="s">
        <v>10</v>
      </c>
      <c r="I2">
        <f t="shared" ref="I2:I45" si="0">0.05*1000</f>
        <v>50</v>
      </c>
      <c r="J2" t="s">
        <v>93</v>
      </c>
    </row>
    <row r="3" spans="1:10" x14ac:dyDescent="0.25">
      <c r="A3" t="s">
        <v>27</v>
      </c>
      <c r="B3" t="s">
        <v>28</v>
      </c>
      <c r="C3">
        <v>4.5599999999999998E-3</v>
      </c>
      <c r="D3">
        <v>1.42E-3</v>
      </c>
      <c r="E3">
        <v>305</v>
      </c>
      <c r="F3">
        <v>0</v>
      </c>
      <c r="G3">
        <v>14</v>
      </c>
      <c r="H3" t="s">
        <v>10</v>
      </c>
      <c r="I3">
        <f t="shared" si="0"/>
        <v>50</v>
      </c>
    </row>
    <row r="4" spans="1:10" x14ac:dyDescent="0.25">
      <c r="A4" t="s">
        <v>28</v>
      </c>
      <c r="B4" t="s">
        <v>29</v>
      </c>
      <c r="C4">
        <v>4.5599999999999998E-3</v>
      </c>
      <c r="D4">
        <v>1.42E-3</v>
      </c>
      <c r="E4">
        <v>305</v>
      </c>
      <c r="F4">
        <v>0</v>
      </c>
      <c r="G4">
        <v>15</v>
      </c>
      <c r="H4" t="s">
        <v>10</v>
      </c>
      <c r="I4">
        <f t="shared" si="0"/>
        <v>50</v>
      </c>
    </row>
    <row r="5" spans="1:10" x14ac:dyDescent="0.25">
      <c r="A5" t="s">
        <v>29</v>
      </c>
      <c r="B5" t="s">
        <v>30</v>
      </c>
      <c r="C5">
        <v>4.5599999999999998E-3</v>
      </c>
      <c r="D5">
        <v>1.42E-3</v>
      </c>
      <c r="E5">
        <v>305</v>
      </c>
      <c r="F5">
        <v>0</v>
      </c>
      <c r="G5">
        <v>16</v>
      </c>
      <c r="H5" t="s">
        <v>10</v>
      </c>
      <c r="I5">
        <f t="shared" si="0"/>
        <v>50</v>
      </c>
    </row>
    <row r="6" spans="1:10" x14ac:dyDescent="0.25">
      <c r="A6" t="s">
        <v>31</v>
      </c>
      <c r="B6" t="s">
        <v>32</v>
      </c>
      <c r="C6">
        <v>4.5599999999999998E-3</v>
      </c>
      <c r="D6">
        <v>1.42E-3</v>
      </c>
      <c r="E6">
        <v>305</v>
      </c>
      <c r="F6">
        <v>0</v>
      </c>
      <c r="G6">
        <v>17</v>
      </c>
      <c r="H6" t="s">
        <v>10</v>
      </c>
      <c r="I6">
        <f t="shared" si="0"/>
        <v>50</v>
      </c>
    </row>
    <row r="7" spans="1:10" x14ac:dyDescent="0.25">
      <c r="A7" t="s">
        <v>32</v>
      </c>
      <c r="B7" t="s">
        <v>33</v>
      </c>
      <c r="C7">
        <v>4.5599999999999998E-3</v>
      </c>
      <c r="D7">
        <v>1.42E-3</v>
      </c>
      <c r="E7">
        <v>305</v>
      </c>
      <c r="F7">
        <v>0</v>
      </c>
      <c r="G7">
        <v>18</v>
      </c>
      <c r="H7" t="s">
        <v>10</v>
      </c>
      <c r="I7">
        <f t="shared" si="0"/>
        <v>50</v>
      </c>
    </row>
    <row r="8" spans="1:10" x14ac:dyDescent="0.25">
      <c r="A8" t="s">
        <v>33</v>
      </c>
      <c r="B8" t="s">
        <v>34</v>
      </c>
      <c r="C8">
        <v>4.5599999999999998E-3</v>
      </c>
      <c r="D8">
        <v>1.42E-3</v>
      </c>
      <c r="E8">
        <v>305</v>
      </c>
      <c r="F8">
        <v>0</v>
      </c>
      <c r="G8">
        <v>19</v>
      </c>
      <c r="H8" t="s">
        <v>10</v>
      </c>
      <c r="I8">
        <f t="shared" si="0"/>
        <v>50</v>
      </c>
    </row>
    <row r="9" spans="1:10" x14ac:dyDescent="0.25">
      <c r="A9" t="s">
        <v>34</v>
      </c>
      <c r="B9" t="s">
        <v>35</v>
      </c>
      <c r="C9">
        <v>4.5599999999999998E-3</v>
      </c>
      <c r="D9">
        <v>1.42E-3</v>
      </c>
      <c r="E9">
        <v>305</v>
      </c>
      <c r="F9">
        <v>0</v>
      </c>
      <c r="G9">
        <v>20</v>
      </c>
      <c r="H9" t="s">
        <v>10</v>
      </c>
      <c r="I9">
        <f t="shared" si="0"/>
        <v>50</v>
      </c>
    </row>
    <row r="10" spans="1:10" x14ac:dyDescent="0.25">
      <c r="A10" t="s">
        <v>36</v>
      </c>
      <c r="B10" t="s">
        <v>37</v>
      </c>
      <c r="C10">
        <v>4.5599999999999998E-3</v>
      </c>
      <c r="D10">
        <v>1.42E-3</v>
      </c>
      <c r="E10">
        <v>305</v>
      </c>
      <c r="F10">
        <v>0</v>
      </c>
      <c r="G10">
        <v>21</v>
      </c>
      <c r="H10" t="s">
        <v>10</v>
      </c>
      <c r="I10">
        <f t="shared" si="0"/>
        <v>50</v>
      </c>
    </row>
    <row r="11" spans="1:10" x14ac:dyDescent="0.25">
      <c r="A11" t="s">
        <v>37</v>
      </c>
      <c r="B11" t="s">
        <v>38</v>
      </c>
      <c r="C11">
        <v>4.5599999999999998E-3</v>
      </c>
      <c r="D11">
        <v>1.42E-3</v>
      </c>
      <c r="E11">
        <v>305</v>
      </c>
      <c r="F11">
        <v>0</v>
      </c>
      <c r="G11">
        <v>22</v>
      </c>
      <c r="H11" t="s">
        <v>10</v>
      </c>
      <c r="I11">
        <f t="shared" si="0"/>
        <v>50</v>
      </c>
    </row>
    <row r="12" spans="1:10" x14ac:dyDescent="0.25">
      <c r="A12" t="s">
        <v>38</v>
      </c>
      <c r="B12" t="s">
        <v>39</v>
      </c>
      <c r="C12">
        <v>4.5599999999999998E-3</v>
      </c>
      <c r="D12">
        <v>1.42E-3</v>
      </c>
      <c r="E12">
        <v>305</v>
      </c>
      <c r="F12">
        <v>0</v>
      </c>
      <c r="G12">
        <v>23</v>
      </c>
      <c r="H12" t="s">
        <v>10</v>
      </c>
      <c r="I12">
        <f t="shared" si="0"/>
        <v>50</v>
      </c>
    </row>
    <row r="13" spans="1:10" x14ac:dyDescent="0.25">
      <c r="A13" t="s">
        <v>39</v>
      </c>
      <c r="B13" t="s">
        <v>40</v>
      </c>
      <c r="C13">
        <v>4.5599999999999998E-3</v>
      </c>
      <c r="D13">
        <v>1.42E-3</v>
      </c>
      <c r="E13">
        <v>305</v>
      </c>
      <c r="F13">
        <v>0</v>
      </c>
      <c r="G13">
        <v>24</v>
      </c>
      <c r="H13" t="s">
        <v>10</v>
      </c>
      <c r="I13">
        <f t="shared" si="0"/>
        <v>50</v>
      </c>
    </row>
    <row r="14" spans="1:10" x14ac:dyDescent="0.25">
      <c r="A14" t="s">
        <v>41</v>
      </c>
      <c r="B14" t="s">
        <v>42</v>
      </c>
      <c r="C14">
        <v>4.5599999999999998E-3</v>
      </c>
      <c r="D14">
        <v>1.42E-3</v>
      </c>
      <c r="E14">
        <v>305</v>
      </c>
      <c r="F14">
        <v>0</v>
      </c>
      <c r="G14">
        <v>25</v>
      </c>
      <c r="H14" t="s">
        <v>10</v>
      </c>
      <c r="I14">
        <f t="shared" si="0"/>
        <v>50</v>
      </c>
    </row>
    <row r="15" spans="1:10" x14ac:dyDescent="0.25">
      <c r="A15" t="s">
        <v>42</v>
      </c>
      <c r="B15" t="s">
        <v>43</v>
      </c>
      <c r="C15">
        <v>4.5599999999999998E-3</v>
      </c>
      <c r="D15">
        <v>1.42E-3</v>
      </c>
      <c r="E15">
        <v>305</v>
      </c>
      <c r="F15">
        <v>0</v>
      </c>
      <c r="G15">
        <v>26</v>
      </c>
      <c r="H15" t="s">
        <v>10</v>
      </c>
      <c r="I15">
        <f t="shared" si="0"/>
        <v>50</v>
      </c>
    </row>
    <row r="16" spans="1:10" x14ac:dyDescent="0.25">
      <c r="A16" t="s">
        <v>43</v>
      </c>
      <c r="B16" t="s">
        <v>44</v>
      </c>
      <c r="C16">
        <v>4.5599999999999998E-3</v>
      </c>
      <c r="D16">
        <v>1.42E-3</v>
      </c>
      <c r="E16">
        <v>305</v>
      </c>
      <c r="F16">
        <v>0</v>
      </c>
      <c r="G16">
        <v>27</v>
      </c>
      <c r="H16" t="s">
        <v>10</v>
      </c>
      <c r="I16">
        <f t="shared" si="0"/>
        <v>50</v>
      </c>
    </row>
    <row r="17" spans="1:10" x14ac:dyDescent="0.25">
      <c r="A17" t="s">
        <v>44</v>
      </c>
      <c r="B17" t="s">
        <v>45</v>
      </c>
      <c r="C17">
        <v>4.5599999999999998E-3</v>
      </c>
      <c r="D17">
        <v>1.42E-3</v>
      </c>
      <c r="E17">
        <v>305</v>
      </c>
      <c r="F17">
        <v>0</v>
      </c>
      <c r="G17">
        <v>28</v>
      </c>
      <c r="H17" t="s">
        <v>10</v>
      </c>
      <c r="I17">
        <f t="shared" si="0"/>
        <v>50</v>
      </c>
    </row>
    <row r="18" spans="1:10" x14ac:dyDescent="0.25">
      <c r="A18" t="s">
        <v>46</v>
      </c>
      <c r="B18" t="s">
        <v>47</v>
      </c>
      <c r="C18">
        <v>4.5599999999999998E-3</v>
      </c>
      <c r="D18">
        <v>1.42E-3</v>
      </c>
      <c r="E18">
        <v>305</v>
      </c>
      <c r="F18">
        <v>0</v>
      </c>
      <c r="G18">
        <v>29</v>
      </c>
      <c r="H18" t="s">
        <v>10</v>
      </c>
      <c r="I18">
        <f t="shared" si="0"/>
        <v>50</v>
      </c>
    </row>
    <row r="19" spans="1:10" x14ac:dyDescent="0.25">
      <c r="A19" t="s">
        <v>47</v>
      </c>
      <c r="B19" t="s">
        <v>48</v>
      </c>
      <c r="C19">
        <v>4.5599999999999998E-3</v>
      </c>
      <c r="D19">
        <v>1.42E-3</v>
      </c>
      <c r="E19">
        <v>305</v>
      </c>
      <c r="F19">
        <v>0</v>
      </c>
      <c r="G19">
        <v>30</v>
      </c>
      <c r="H19" t="s">
        <v>10</v>
      </c>
      <c r="I19">
        <f t="shared" si="0"/>
        <v>50</v>
      </c>
    </row>
    <row r="20" spans="1:10" x14ac:dyDescent="0.25">
      <c r="A20" t="s">
        <v>48</v>
      </c>
      <c r="B20" t="s">
        <v>49</v>
      </c>
      <c r="C20">
        <v>4.5599999999999998E-3</v>
      </c>
      <c r="D20">
        <v>1.42E-3</v>
      </c>
      <c r="E20">
        <v>305</v>
      </c>
      <c r="F20">
        <v>0</v>
      </c>
      <c r="G20">
        <v>31</v>
      </c>
      <c r="H20" t="s">
        <v>10</v>
      </c>
      <c r="I20">
        <f t="shared" si="0"/>
        <v>50</v>
      </c>
    </row>
    <row r="21" spans="1:10" x14ac:dyDescent="0.25">
      <c r="A21" t="s">
        <v>49</v>
      </c>
      <c r="B21" t="s">
        <v>50</v>
      </c>
      <c r="C21">
        <v>4.5599999999999998E-3</v>
      </c>
      <c r="D21">
        <v>1.42E-3</v>
      </c>
      <c r="E21">
        <v>305</v>
      </c>
      <c r="F21">
        <v>0</v>
      </c>
      <c r="G21">
        <v>32</v>
      </c>
      <c r="H21" t="s">
        <v>10</v>
      </c>
      <c r="I21">
        <f t="shared" si="0"/>
        <v>50</v>
      </c>
    </row>
    <row r="22" spans="1:10" x14ac:dyDescent="0.25">
      <c r="A22" t="s">
        <v>51</v>
      </c>
      <c r="B22" t="s">
        <v>52</v>
      </c>
      <c r="C22">
        <v>7.0000000000000001E-3</v>
      </c>
      <c r="D22">
        <v>1.7849999999999999E-3</v>
      </c>
      <c r="E22">
        <v>280</v>
      </c>
      <c r="F22">
        <v>0</v>
      </c>
      <c r="G22">
        <v>33</v>
      </c>
      <c r="H22">
        <v>1</v>
      </c>
      <c r="I22">
        <f t="shared" si="0"/>
        <v>50</v>
      </c>
      <c r="J22" t="s">
        <v>94</v>
      </c>
    </row>
    <row r="23" spans="1:10" x14ac:dyDescent="0.25">
      <c r="A23" t="s">
        <v>52</v>
      </c>
      <c r="B23" t="s">
        <v>53</v>
      </c>
      <c r="C23">
        <v>7.0000000000000001E-3</v>
      </c>
      <c r="D23">
        <v>1.7849999999999999E-3</v>
      </c>
      <c r="E23">
        <v>280</v>
      </c>
      <c r="F23">
        <v>0</v>
      </c>
      <c r="G23">
        <v>34</v>
      </c>
      <c r="H23">
        <v>1</v>
      </c>
      <c r="I23">
        <f t="shared" si="0"/>
        <v>50</v>
      </c>
    </row>
    <row r="24" spans="1:10" x14ac:dyDescent="0.25">
      <c r="A24" t="s">
        <v>53</v>
      </c>
      <c r="B24" t="s">
        <v>54</v>
      </c>
      <c r="C24">
        <v>7.0000000000000001E-3</v>
      </c>
      <c r="D24">
        <v>1.7849999999999999E-3</v>
      </c>
      <c r="E24">
        <v>280</v>
      </c>
      <c r="F24">
        <v>0</v>
      </c>
      <c r="G24">
        <v>35</v>
      </c>
      <c r="H24">
        <v>1</v>
      </c>
      <c r="I24">
        <f t="shared" si="0"/>
        <v>50</v>
      </c>
    </row>
    <row r="25" spans="1:10" x14ac:dyDescent="0.25">
      <c r="A25" t="s">
        <v>54</v>
      </c>
      <c r="B25" t="s">
        <v>55</v>
      </c>
      <c r="C25">
        <v>7.0000000000000001E-3</v>
      </c>
      <c r="D25">
        <v>1.7849999999999999E-3</v>
      </c>
      <c r="E25">
        <v>280</v>
      </c>
      <c r="F25">
        <v>0</v>
      </c>
      <c r="G25">
        <v>36</v>
      </c>
      <c r="H25">
        <v>1</v>
      </c>
      <c r="I25">
        <f t="shared" si="0"/>
        <v>50</v>
      </c>
    </row>
    <row r="26" spans="1:10" x14ac:dyDescent="0.25">
      <c r="A26" t="s">
        <v>56</v>
      </c>
      <c r="B26" t="s">
        <v>57</v>
      </c>
      <c r="C26">
        <v>7.0000000000000001E-3</v>
      </c>
      <c r="D26">
        <v>1.7849999999999999E-3</v>
      </c>
      <c r="E26">
        <v>280</v>
      </c>
      <c r="F26">
        <v>0</v>
      </c>
      <c r="G26">
        <v>37</v>
      </c>
      <c r="H26">
        <v>1</v>
      </c>
      <c r="I26">
        <f t="shared" si="0"/>
        <v>50</v>
      </c>
    </row>
    <row r="27" spans="1:10" x14ac:dyDescent="0.25">
      <c r="A27" t="s">
        <v>57</v>
      </c>
      <c r="B27" t="s">
        <v>58</v>
      </c>
      <c r="C27">
        <v>7.0000000000000001E-3</v>
      </c>
      <c r="D27">
        <v>1.7849999999999999E-3</v>
      </c>
      <c r="E27">
        <v>280</v>
      </c>
      <c r="F27">
        <v>0</v>
      </c>
      <c r="G27">
        <v>38</v>
      </c>
      <c r="H27">
        <v>1</v>
      </c>
      <c r="I27">
        <f t="shared" si="0"/>
        <v>50</v>
      </c>
    </row>
    <row r="28" spans="1:10" x14ac:dyDescent="0.25">
      <c r="A28" t="s">
        <v>58</v>
      </c>
      <c r="B28" t="s">
        <v>59</v>
      </c>
      <c r="C28">
        <v>7.0000000000000001E-3</v>
      </c>
      <c r="D28">
        <v>1.7849999999999999E-3</v>
      </c>
      <c r="E28">
        <v>280</v>
      </c>
      <c r="F28">
        <v>0</v>
      </c>
      <c r="G28">
        <v>39</v>
      </c>
      <c r="H28">
        <v>1</v>
      </c>
      <c r="I28">
        <f t="shared" si="0"/>
        <v>50</v>
      </c>
    </row>
    <row r="29" spans="1:10" x14ac:dyDescent="0.25">
      <c r="A29" t="s">
        <v>59</v>
      </c>
      <c r="B29" t="s">
        <v>60</v>
      </c>
      <c r="C29">
        <v>7.0000000000000001E-3</v>
      </c>
      <c r="D29">
        <v>1.7849999999999999E-3</v>
      </c>
      <c r="E29">
        <v>280</v>
      </c>
      <c r="F29">
        <v>0</v>
      </c>
      <c r="G29">
        <v>40</v>
      </c>
      <c r="H29">
        <v>1</v>
      </c>
      <c r="I29">
        <f t="shared" si="0"/>
        <v>50</v>
      </c>
    </row>
    <row r="30" spans="1:10" x14ac:dyDescent="0.25">
      <c r="A30" t="s">
        <v>61</v>
      </c>
      <c r="B30" t="s">
        <v>62</v>
      </c>
      <c r="C30">
        <v>7.0000000000000001E-3</v>
      </c>
      <c r="D30">
        <v>1.7849999999999999E-3</v>
      </c>
      <c r="E30">
        <v>280</v>
      </c>
      <c r="F30">
        <v>0</v>
      </c>
      <c r="G30">
        <v>41</v>
      </c>
      <c r="H30">
        <v>3</v>
      </c>
      <c r="I30">
        <f t="shared" si="0"/>
        <v>50</v>
      </c>
    </row>
    <row r="31" spans="1:10" x14ac:dyDescent="0.25">
      <c r="A31" t="s">
        <v>62</v>
      </c>
      <c r="B31" t="s">
        <v>63</v>
      </c>
      <c r="C31">
        <v>7.0000000000000001E-3</v>
      </c>
      <c r="D31">
        <v>1.7849999999999999E-3</v>
      </c>
      <c r="E31">
        <v>280</v>
      </c>
      <c r="F31">
        <v>0</v>
      </c>
      <c r="G31">
        <v>42</v>
      </c>
      <c r="H31">
        <v>3</v>
      </c>
      <c r="I31">
        <f t="shared" si="0"/>
        <v>50</v>
      </c>
    </row>
    <row r="32" spans="1:10" x14ac:dyDescent="0.25">
      <c r="A32" t="s">
        <v>63</v>
      </c>
      <c r="B32" t="s">
        <v>64</v>
      </c>
      <c r="C32">
        <v>7.0000000000000001E-3</v>
      </c>
      <c r="D32">
        <v>1.7849999999999999E-3</v>
      </c>
      <c r="E32">
        <v>280</v>
      </c>
      <c r="F32">
        <v>0</v>
      </c>
      <c r="G32">
        <v>43</v>
      </c>
      <c r="H32">
        <v>3</v>
      </c>
      <c r="I32">
        <f t="shared" si="0"/>
        <v>50</v>
      </c>
    </row>
    <row r="33" spans="1:9" x14ac:dyDescent="0.25">
      <c r="A33" t="s">
        <v>64</v>
      </c>
      <c r="B33" t="s">
        <v>65</v>
      </c>
      <c r="C33">
        <v>7.0000000000000001E-3</v>
      </c>
      <c r="D33">
        <v>1.7849999999999999E-3</v>
      </c>
      <c r="E33">
        <v>280</v>
      </c>
      <c r="F33">
        <v>0</v>
      </c>
      <c r="G33">
        <v>44</v>
      </c>
      <c r="H33">
        <v>3</v>
      </c>
      <c r="I33">
        <f t="shared" si="0"/>
        <v>50</v>
      </c>
    </row>
    <row r="34" spans="1:9" x14ac:dyDescent="0.25">
      <c r="A34" t="s">
        <v>66</v>
      </c>
      <c r="B34" t="s">
        <v>67</v>
      </c>
      <c r="C34">
        <v>7.0000000000000001E-3</v>
      </c>
      <c r="D34">
        <v>1.7849999999999999E-3</v>
      </c>
      <c r="E34">
        <v>280</v>
      </c>
      <c r="F34">
        <v>0</v>
      </c>
      <c r="G34">
        <v>45</v>
      </c>
      <c r="H34">
        <v>2</v>
      </c>
      <c r="I34">
        <f t="shared" si="0"/>
        <v>50</v>
      </c>
    </row>
    <row r="35" spans="1:9" x14ac:dyDescent="0.25">
      <c r="A35" t="s">
        <v>67</v>
      </c>
      <c r="B35" t="s">
        <v>69</v>
      </c>
      <c r="C35">
        <v>7.0000000000000001E-3</v>
      </c>
      <c r="D35">
        <v>1.7849999999999999E-3</v>
      </c>
      <c r="E35">
        <v>280</v>
      </c>
      <c r="F35">
        <v>0</v>
      </c>
      <c r="G35">
        <v>46</v>
      </c>
      <c r="H35">
        <v>2</v>
      </c>
      <c r="I35">
        <f t="shared" si="0"/>
        <v>50</v>
      </c>
    </row>
    <row r="36" spans="1:9" x14ac:dyDescent="0.25">
      <c r="A36" t="s">
        <v>69</v>
      </c>
      <c r="B36" t="s">
        <v>70</v>
      </c>
      <c r="C36">
        <v>7.0000000000000001E-3</v>
      </c>
      <c r="D36">
        <v>1.7849999999999999E-3</v>
      </c>
      <c r="E36">
        <v>280</v>
      </c>
      <c r="F36">
        <v>0</v>
      </c>
      <c r="G36">
        <v>47</v>
      </c>
      <c r="H36">
        <v>2</v>
      </c>
      <c r="I36">
        <f t="shared" si="0"/>
        <v>50</v>
      </c>
    </row>
    <row r="37" spans="1:9" x14ac:dyDescent="0.25">
      <c r="A37" t="s">
        <v>70</v>
      </c>
      <c r="B37" t="s">
        <v>71</v>
      </c>
      <c r="C37">
        <v>7.0000000000000001E-3</v>
      </c>
      <c r="D37">
        <v>1.7849999999999999E-3</v>
      </c>
      <c r="E37">
        <v>280</v>
      </c>
      <c r="F37">
        <v>0</v>
      </c>
      <c r="G37">
        <v>48</v>
      </c>
      <c r="H37">
        <v>2</v>
      </c>
      <c r="I37">
        <f t="shared" si="0"/>
        <v>50</v>
      </c>
    </row>
    <row r="38" spans="1:9" x14ac:dyDescent="0.25">
      <c r="A38" t="s">
        <v>72</v>
      </c>
      <c r="B38" t="s">
        <v>73</v>
      </c>
      <c r="C38">
        <v>7.0000000000000001E-3</v>
      </c>
      <c r="D38">
        <v>1.7849999999999999E-3</v>
      </c>
      <c r="E38">
        <v>280</v>
      </c>
      <c r="F38">
        <v>0</v>
      </c>
      <c r="G38">
        <v>49</v>
      </c>
      <c r="H38">
        <v>3</v>
      </c>
      <c r="I38">
        <f t="shared" si="0"/>
        <v>50</v>
      </c>
    </row>
    <row r="39" spans="1:9" x14ac:dyDescent="0.25">
      <c r="A39" t="s">
        <v>73</v>
      </c>
      <c r="B39" t="s">
        <v>74</v>
      </c>
      <c r="C39">
        <v>7.0000000000000001E-3</v>
      </c>
      <c r="D39">
        <v>1.7849999999999999E-3</v>
      </c>
      <c r="E39">
        <v>280</v>
      </c>
      <c r="F39">
        <v>0</v>
      </c>
      <c r="G39">
        <v>50</v>
      </c>
      <c r="H39">
        <v>3</v>
      </c>
      <c r="I39">
        <f t="shared" si="0"/>
        <v>50</v>
      </c>
    </row>
    <row r="40" spans="1:9" x14ac:dyDescent="0.25">
      <c r="A40" t="s">
        <v>74</v>
      </c>
      <c r="B40" t="s">
        <v>75</v>
      </c>
      <c r="C40">
        <v>7.0000000000000001E-3</v>
      </c>
      <c r="D40">
        <v>1.7849999999999999E-3</v>
      </c>
      <c r="E40">
        <v>280</v>
      </c>
      <c r="F40">
        <v>0</v>
      </c>
      <c r="G40">
        <v>51</v>
      </c>
      <c r="H40">
        <v>3</v>
      </c>
      <c r="I40">
        <f t="shared" si="0"/>
        <v>50</v>
      </c>
    </row>
    <row r="41" spans="1:9" x14ac:dyDescent="0.25">
      <c r="A41" t="s">
        <v>75</v>
      </c>
      <c r="B41" t="s">
        <v>76</v>
      </c>
      <c r="C41">
        <v>7.0000000000000001E-3</v>
      </c>
      <c r="D41">
        <v>1.7849999999999999E-3</v>
      </c>
      <c r="E41">
        <v>280</v>
      </c>
      <c r="F41">
        <v>0</v>
      </c>
      <c r="G41">
        <v>52</v>
      </c>
      <c r="H41">
        <v>3</v>
      </c>
      <c r="I41">
        <f t="shared" si="0"/>
        <v>50</v>
      </c>
    </row>
    <row r="42" spans="1:9" x14ac:dyDescent="0.25">
      <c r="A42" t="s">
        <v>77</v>
      </c>
      <c r="B42" t="s">
        <v>78</v>
      </c>
      <c r="C42">
        <v>7.0000000000000001E-3</v>
      </c>
      <c r="D42">
        <v>1.7849999999999999E-3</v>
      </c>
      <c r="E42">
        <v>280</v>
      </c>
      <c r="F42">
        <v>0</v>
      </c>
      <c r="G42">
        <v>53</v>
      </c>
      <c r="H42">
        <v>2</v>
      </c>
      <c r="I42">
        <f t="shared" si="0"/>
        <v>50</v>
      </c>
    </row>
    <row r="43" spans="1:9" x14ac:dyDescent="0.25">
      <c r="A43" t="s">
        <v>78</v>
      </c>
      <c r="B43" t="s">
        <v>79</v>
      </c>
      <c r="C43">
        <v>7.0000000000000001E-3</v>
      </c>
      <c r="D43">
        <v>1.7849999999999999E-3</v>
      </c>
      <c r="E43">
        <v>280</v>
      </c>
      <c r="F43">
        <v>0</v>
      </c>
      <c r="G43">
        <v>54</v>
      </c>
      <c r="H43">
        <v>2</v>
      </c>
      <c r="I43">
        <f t="shared" si="0"/>
        <v>50</v>
      </c>
    </row>
    <row r="44" spans="1:9" x14ac:dyDescent="0.25">
      <c r="A44" t="s">
        <v>79</v>
      </c>
      <c r="B44" t="s">
        <v>80</v>
      </c>
      <c r="C44">
        <v>7.0000000000000001E-3</v>
      </c>
      <c r="D44">
        <v>1.7849999999999999E-3</v>
      </c>
      <c r="E44">
        <v>280</v>
      </c>
      <c r="F44">
        <v>0</v>
      </c>
      <c r="G44">
        <v>55</v>
      </c>
      <c r="H44">
        <v>2</v>
      </c>
      <c r="I44">
        <f t="shared" si="0"/>
        <v>50</v>
      </c>
    </row>
    <row r="45" spans="1:9" x14ac:dyDescent="0.25">
      <c r="A45" t="s">
        <v>80</v>
      </c>
      <c r="B45" t="s">
        <v>81</v>
      </c>
      <c r="C45">
        <v>7.0000000000000001E-3</v>
      </c>
      <c r="D45">
        <v>1.7849999999999999E-3</v>
      </c>
      <c r="E45">
        <v>280</v>
      </c>
      <c r="F45">
        <v>0</v>
      </c>
      <c r="G45">
        <v>56</v>
      </c>
      <c r="H45">
        <v>2</v>
      </c>
      <c r="I45">
        <f t="shared" si="0"/>
        <v>50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"/>
  <sheetViews>
    <sheetView tabSelected="1" workbookViewId="0">
      <selection activeCell="H17" sqref="H17"/>
    </sheetView>
  </sheetViews>
  <sheetFormatPr defaultRowHeight="15" x14ac:dyDescent="0.25"/>
  <sheetData>
    <row r="1" spans="1:18" x14ac:dyDescent="0.25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s="1" t="s">
        <v>106</v>
      </c>
      <c r="M1" s="1" t="s">
        <v>107</v>
      </c>
      <c r="N1" s="1" t="s">
        <v>108</v>
      </c>
      <c r="O1" s="1" t="s">
        <v>107</v>
      </c>
      <c r="P1" s="3" t="s">
        <v>109</v>
      </c>
      <c r="Q1" s="3" t="s">
        <v>110</v>
      </c>
      <c r="R1" s="2" t="s">
        <v>87</v>
      </c>
    </row>
    <row r="2" spans="1:18" x14ac:dyDescent="0.25">
      <c r="A2" t="s">
        <v>111</v>
      </c>
      <c r="B2" t="s">
        <v>10</v>
      </c>
      <c r="C2" t="s">
        <v>82</v>
      </c>
      <c r="D2">
        <v>650</v>
      </c>
      <c r="E2" s="4">
        <v>115</v>
      </c>
      <c r="F2" s="4">
        <v>4.16</v>
      </c>
      <c r="G2" s="4">
        <v>5000</v>
      </c>
      <c r="H2" s="4">
        <v>6.8999999999999999E-3</v>
      </c>
      <c r="I2" s="4">
        <v>0.27700000000000002</v>
      </c>
      <c r="J2" t="s">
        <v>112</v>
      </c>
      <c r="K2" t="s">
        <v>113</v>
      </c>
      <c r="L2" s="4">
        <v>0.1</v>
      </c>
      <c r="M2" s="4">
        <v>8</v>
      </c>
      <c r="N2" s="4">
        <v>4</v>
      </c>
      <c r="O2" s="4">
        <v>4</v>
      </c>
      <c r="P2" s="4">
        <v>0</v>
      </c>
      <c r="Q2" s="4">
        <v>0</v>
      </c>
      <c r="R2" t="s">
        <v>114</v>
      </c>
    </row>
    <row r="3" spans="1:18" x14ac:dyDescent="0.25">
      <c r="A3" t="s">
        <v>115</v>
      </c>
      <c r="B3" t="s">
        <v>10</v>
      </c>
      <c r="C3">
        <v>633</v>
      </c>
      <c r="D3" t="s">
        <v>26</v>
      </c>
      <c r="E3" s="4">
        <v>4.16</v>
      </c>
      <c r="F3" s="4">
        <v>0.48</v>
      </c>
      <c r="G3" s="4">
        <v>500</v>
      </c>
      <c r="H3" s="4">
        <v>5.0699999999999999E-3</v>
      </c>
      <c r="I3" s="4">
        <v>9.2160000000000002E-3</v>
      </c>
      <c r="J3" t="s">
        <v>113</v>
      </c>
      <c r="K3" t="s">
        <v>113</v>
      </c>
      <c r="L3" s="4">
        <v>0.55000000000000004</v>
      </c>
      <c r="M3" s="4">
        <v>0</v>
      </c>
      <c r="N3" s="4">
        <v>1</v>
      </c>
      <c r="O3" s="4">
        <v>0</v>
      </c>
      <c r="P3" s="4">
        <v>1.8</v>
      </c>
      <c r="Q3" s="4">
        <v>9</v>
      </c>
      <c r="R3" t="s">
        <v>116</v>
      </c>
    </row>
    <row r="4" spans="1:18" x14ac:dyDescent="0.25">
      <c r="A4" t="s">
        <v>117</v>
      </c>
      <c r="B4" t="s">
        <v>10</v>
      </c>
      <c r="C4">
        <v>675</v>
      </c>
      <c r="D4" t="s">
        <v>31</v>
      </c>
      <c r="E4" s="4">
        <v>4.16</v>
      </c>
      <c r="F4" s="4">
        <v>0.48</v>
      </c>
      <c r="G4" s="4">
        <v>500</v>
      </c>
      <c r="H4" s="4">
        <v>5.0699999999999999E-3</v>
      </c>
      <c r="I4" s="4">
        <v>9.2160000000000002E-3</v>
      </c>
      <c r="J4" t="s">
        <v>113</v>
      </c>
      <c r="K4" t="s">
        <v>113</v>
      </c>
      <c r="L4" s="4">
        <v>0.55000000000000004</v>
      </c>
      <c r="M4" s="4">
        <v>0</v>
      </c>
      <c r="N4" s="4">
        <v>1</v>
      </c>
      <c r="O4" s="4">
        <v>0</v>
      </c>
      <c r="P4" s="4">
        <v>1.8</v>
      </c>
      <c r="Q4" s="4">
        <v>9</v>
      </c>
      <c r="R4" t="s">
        <v>118</v>
      </c>
    </row>
    <row r="5" spans="1:18" x14ac:dyDescent="0.25">
      <c r="A5" t="s">
        <v>119</v>
      </c>
      <c r="B5" t="s">
        <v>10</v>
      </c>
      <c r="C5">
        <v>675</v>
      </c>
      <c r="D5" t="s">
        <v>36</v>
      </c>
      <c r="E5" s="4">
        <v>4.16</v>
      </c>
      <c r="F5" s="4">
        <v>0.48</v>
      </c>
      <c r="G5" s="4">
        <v>500</v>
      </c>
      <c r="H5" s="4">
        <v>5.0699999999999999E-3</v>
      </c>
      <c r="I5" s="4">
        <v>9.2160000000000002E-3</v>
      </c>
      <c r="J5" t="s">
        <v>113</v>
      </c>
      <c r="K5" t="s">
        <v>113</v>
      </c>
      <c r="L5" s="4">
        <v>0.55000000000000004</v>
      </c>
      <c r="M5" s="4">
        <v>0</v>
      </c>
      <c r="N5" s="4">
        <v>1</v>
      </c>
      <c r="O5" s="4">
        <v>0</v>
      </c>
      <c r="P5" s="4">
        <v>1.8</v>
      </c>
      <c r="Q5" s="4">
        <v>9</v>
      </c>
      <c r="R5" t="s">
        <v>118</v>
      </c>
    </row>
    <row r="6" spans="1:18" x14ac:dyDescent="0.25">
      <c r="A6" t="s">
        <v>120</v>
      </c>
      <c r="B6" t="s">
        <v>10</v>
      </c>
      <c r="C6">
        <v>680</v>
      </c>
      <c r="D6" t="s">
        <v>41</v>
      </c>
      <c r="E6" s="4">
        <v>4.16</v>
      </c>
      <c r="F6" s="4">
        <v>0.48</v>
      </c>
      <c r="G6" s="4">
        <v>500</v>
      </c>
      <c r="H6" s="4">
        <v>5.0699999999999999E-3</v>
      </c>
      <c r="I6" s="4">
        <v>9.2160000000000002E-3</v>
      </c>
      <c r="J6" t="s">
        <v>113</v>
      </c>
      <c r="K6" t="s">
        <v>113</v>
      </c>
      <c r="L6" s="4">
        <v>0.55000000000000004</v>
      </c>
      <c r="M6" s="4">
        <v>0</v>
      </c>
      <c r="N6" s="4">
        <v>1</v>
      </c>
      <c r="O6" s="4">
        <v>0</v>
      </c>
      <c r="P6" s="4">
        <v>1.8</v>
      </c>
      <c r="Q6" s="4">
        <v>9</v>
      </c>
      <c r="R6" t="s">
        <v>118</v>
      </c>
    </row>
    <row r="7" spans="1:18" x14ac:dyDescent="0.25">
      <c r="A7" t="s">
        <v>121</v>
      </c>
      <c r="B7" t="s">
        <v>10</v>
      </c>
      <c r="C7">
        <v>671</v>
      </c>
      <c r="D7" t="s">
        <v>46</v>
      </c>
      <c r="E7" s="4">
        <v>4.16</v>
      </c>
      <c r="F7" s="4">
        <v>0.48</v>
      </c>
      <c r="G7" s="4">
        <v>500</v>
      </c>
      <c r="H7" s="4">
        <v>5.0699999999999999E-3</v>
      </c>
      <c r="I7" s="4">
        <v>9.2160000000000002E-3</v>
      </c>
      <c r="J7" t="s">
        <v>113</v>
      </c>
      <c r="K7" t="s">
        <v>113</v>
      </c>
      <c r="L7" s="4">
        <v>0.55000000000000004</v>
      </c>
      <c r="M7" s="4">
        <v>0</v>
      </c>
      <c r="N7" s="4">
        <v>1</v>
      </c>
      <c r="O7" s="4">
        <v>0</v>
      </c>
      <c r="P7" s="4">
        <v>1.8</v>
      </c>
      <c r="Q7" s="4">
        <v>9</v>
      </c>
      <c r="R7" t="s">
        <v>118</v>
      </c>
    </row>
    <row r="8" spans="1:18" x14ac:dyDescent="0.25">
      <c r="A8" t="s">
        <v>122</v>
      </c>
      <c r="B8">
        <v>1</v>
      </c>
      <c r="C8">
        <v>692</v>
      </c>
      <c r="D8" t="s">
        <v>51</v>
      </c>
      <c r="E8" s="4">
        <v>2.4</v>
      </c>
      <c r="F8" s="4">
        <v>0.27700000000000002</v>
      </c>
      <c r="G8" s="4">
        <v>150</v>
      </c>
      <c r="H8" s="4">
        <v>5.6270000000000001E-3</v>
      </c>
      <c r="I8" s="4">
        <v>1.0231000000000001E-2</v>
      </c>
      <c r="J8">
        <v>0</v>
      </c>
      <c r="K8">
        <v>0</v>
      </c>
      <c r="L8" s="4">
        <v>0.55000000000000004</v>
      </c>
      <c r="M8" s="4">
        <v>0</v>
      </c>
      <c r="N8" s="4">
        <v>1</v>
      </c>
      <c r="O8" s="4">
        <v>0</v>
      </c>
      <c r="P8" s="4">
        <v>0.82499999999999996</v>
      </c>
      <c r="Q8" s="4">
        <v>1.28</v>
      </c>
      <c r="R8" t="s">
        <v>123</v>
      </c>
    </row>
    <row r="9" spans="1:18" x14ac:dyDescent="0.25">
      <c r="A9" t="s">
        <v>124</v>
      </c>
      <c r="B9">
        <v>1</v>
      </c>
      <c r="C9">
        <v>652</v>
      </c>
      <c r="D9" t="s">
        <v>56</v>
      </c>
      <c r="E9" s="4">
        <v>2.4</v>
      </c>
      <c r="F9" s="4">
        <v>0.27700000000000002</v>
      </c>
      <c r="G9" s="4">
        <v>150</v>
      </c>
      <c r="H9" s="4">
        <v>5.6270000000000001E-3</v>
      </c>
      <c r="I9" s="4">
        <v>1.0231000000000001E-2</v>
      </c>
      <c r="J9">
        <v>0</v>
      </c>
      <c r="K9">
        <v>0</v>
      </c>
      <c r="L9" s="4">
        <v>0.55000000000000004</v>
      </c>
      <c r="M9" s="4">
        <v>0</v>
      </c>
      <c r="N9" s="4">
        <v>1</v>
      </c>
      <c r="O9" s="4">
        <v>0</v>
      </c>
      <c r="P9" s="4">
        <v>0.82499999999999996</v>
      </c>
      <c r="Q9" s="4">
        <v>1.28</v>
      </c>
      <c r="R9" t="s">
        <v>125</v>
      </c>
    </row>
    <row r="10" spans="1:18" x14ac:dyDescent="0.25">
      <c r="A10" t="s">
        <v>126</v>
      </c>
      <c r="B10">
        <v>3</v>
      </c>
      <c r="C10">
        <v>611</v>
      </c>
      <c r="D10" t="s">
        <v>61</v>
      </c>
      <c r="E10" s="4">
        <v>2.4</v>
      </c>
      <c r="F10" s="4">
        <v>0.27700000000000002</v>
      </c>
      <c r="G10" s="4">
        <v>150</v>
      </c>
      <c r="H10" s="4">
        <v>5.6270000000000001E-3</v>
      </c>
      <c r="I10" s="4">
        <v>1.0231000000000001E-2</v>
      </c>
      <c r="J10">
        <v>0</v>
      </c>
      <c r="K10">
        <v>0</v>
      </c>
      <c r="L10" s="4">
        <v>0.55000000000000004</v>
      </c>
      <c r="M10" s="4">
        <v>0</v>
      </c>
      <c r="N10" s="4">
        <v>1</v>
      </c>
      <c r="O10" s="4">
        <v>0</v>
      </c>
      <c r="P10" s="4">
        <v>0.82499999999999996</v>
      </c>
      <c r="Q10" s="4">
        <v>1.28</v>
      </c>
      <c r="R10" t="s">
        <v>125</v>
      </c>
    </row>
    <row r="11" spans="1:18" x14ac:dyDescent="0.25">
      <c r="A11" t="s">
        <v>127</v>
      </c>
      <c r="B11">
        <v>2</v>
      </c>
      <c r="C11">
        <v>646</v>
      </c>
      <c r="D11" t="s">
        <v>66</v>
      </c>
      <c r="E11" s="4">
        <v>2.4</v>
      </c>
      <c r="F11" s="4">
        <v>0.27700000000000002</v>
      </c>
      <c r="G11" s="4">
        <v>150</v>
      </c>
      <c r="H11" s="4">
        <v>5.6270000000000001E-3</v>
      </c>
      <c r="I11" s="4">
        <v>1.0231000000000001E-2</v>
      </c>
      <c r="J11">
        <v>0</v>
      </c>
      <c r="K11">
        <v>0</v>
      </c>
      <c r="L11" s="4">
        <v>0.55000000000000004</v>
      </c>
      <c r="M11" s="4">
        <v>0</v>
      </c>
      <c r="N11" s="4">
        <v>1</v>
      </c>
      <c r="O11" s="4">
        <v>0</v>
      </c>
      <c r="P11" s="4">
        <v>0.82499999999999996</v>
      </c>
      <c r="Q11" s="4">
        <v>1.28</v>
      </c>
      <c r="R11" t="s">
        <v>125</v>
      </c>
    </row>
    <row r="12" spans="1:18" x14ac:dyDescent="0.25">
      <c r="A12" t="s">
        <v>128</v>
      </c>
      <c r="B12">
        <v>3</v>
      </c>
      <c r="C12">
        <v>646</v>
      </c>
      <c r="D12" t="s">
        <v>72</v>
      </c>
      <c r="E12" s="4">
        <v>2.4</v>
      </c>
      <c r="F12" s="4">
        <v>0.27700000000000002</v>
      </c>
      <c r="G12" s="4">
        <v>150</v>
      </c>
      <c r="H12" s="4">
        <v>5.6270000000000001E-3</v>
      </c>
      <c r="I12" s="4">
        <v>1.0231000000000001E-2</v>
      </c>
      <c r="J12">
        <v>0</v>
      </c>
      <c r="K12">
        <v>0</v>
      </c>
      <c r="L12" s="4">
        <v>0.55000000000000004</v>
      </c>
      <c r="M12" s="4">
        <v>0</v>
      </c>
      <c r="N12" s="4">
        <v>1</v>
      </c>
      <c r="O12" s="4">
        <v>0</v>
      </c>
      <c r="P12" s="4">
        <v>0.82499999999999996</v>
      </c>
      <c r="Q12" s="4">
        <v>1.28</v>
      </c>
      <c r="R12" t="s">
        <v>125</v>
      </c>
    </row>
    <row r="13" spans="1:18" x14ac:dyDescent="0.25">
      <c r="A13" t="s">
        <v>129</v>
      </c>
      <c r="B13">
        <v>2</v>
      </c>
      <c r="C13">
        <v>645</v>
      </c>
      <c r="D13" t="s">
        <v>77</v>
      </c>
      <c r="E13" s="4">
        <v>2.4</v>
      </c>
      <c r="F13" s="4">
        <v>0.27700000000000002</v>
      </c>
      <c r="G13" s="4">
        <v>150</v>
      </c>
      <c r="H13" s="4">
        <v>5.6270000000000001E-3</v>
      </c>
      <c r="I13" s="4">
        <v>1.0231000000000001E-2</v>
      </c>
      <c r="J13">
        <v>0</v>
      </c>
      <c r="K13">
        <v>0</v>
      </c>
      <c r="L13" s="4">
        <v>0.55000000000000004</v>
      </c>
      <c r="M13" s="4">
        <v>0</v>
      </c>
      <c r="N13" s="4">
        <v>1</v>
      </c>
      <c r="O13" s="4">
        <v>0</v>
      </c>
      <c r="P13" s="4">
        <v>0.82499999999999996</v>
      </c>
      <c r="Q13" s="4">
        <v>1.28</v>
      </c>
      <c r="R13" t="s">
        <v>125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4"/>
  <sheetViews>
    <sheetView workbookViewId="0">
      <selection activeCell="C2" sqref="C2:C4"/>
    </sheetView>
  </sheetViews>
  <sheetFormatPr defaultRowHeight="15" x14ac:dyDescent="0.25"/>
  <sheetData>
    <row r="1" spans="1:23" x14ac:dyDescent="0.25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130</v>
      </c>
      <c r="K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3" t="s">
        <v>136</v>
      </c>
      <c r="Q1" s="3" t="s">
        <v>137</v>
      </c>
      <c r="R1" s="3" t="s">
        <v>138</v>
      </c>
      <c r="S1" s="3" t="s">
        <v>139</v>
      </c>
      <c r="T1" s="3" t="s">
        <v>140</v>
      </c>
      <c r="U1" s="3" t="s">
        <v>141</v>
      </c>
      <c r="V1" s="3" t="s">
        <v>142</v>
      </c>
      <c r="W1" s="2" t="s">
        <v>87</v>
      </c>
    </row>
    <row r="2" spans="1:23" x14ac:dyDescent="0.25">
      <c r="A2" t="s">
        <v>143</v>
      </c>
      <c r="B2">
        <v>1</v>
      </c>
      <c r="C2">
        <v>650</v>
      </c>
      <c r="D2" t="s">
        <v>88</v>
      </c>
      <c r="E2">
        <v>2.4</v>
      </c>
      <c r="F2">
        <v>2.4</v>
      </c>
      <c r="G2">
        <v>1666</v>
      </c>
      <c r="H2">
        <v>4.3217286914765908E-3</v>
      </c>
      <c r="I2">
        <v>1.296518607442977E-2</v>
      </c>
      <c r="J2">
        <v>20</v>
      </c>
      <c r="K2">
        <v>700</v>
      </c>
      <c r="L2">
        <v>3</v>
      </c>
      <c r="M2">
        <v>9</v>
      </c>
      <c r="N2">
        <v>122</v>
      </c>
      <c r="O2">
        <v>2</v>
      </c>
      <c r="P2">
        <v>0.01</v>
      </c>
      <c r="Q2">
        <v>15</v>
      </c>
      <c r="R2">
        <v>16</v>
      </c>
      <c r="S2">
        <v>2</v>
      </c>
      <c r="T2">
        <v>33</v>
      </c>
      <c r="U2">
        <v>6.2500000000000003E-3</v>
      </c>
      <c r="V2" t="s">
        <v>144</v>
      </c>
      <c r="W2" t="s">
        <v>145</v>
      </c>
    </row>
    <row r="3" spans="1:23" x14ac:dyDescent="0.25">
      <c r="A3" t="s">
        <v>146</v>
      </c>
      <c r="B3">
        <v>2</v>
      </c>
      <c r="C3">
        <v>650</v>
      </c>
      <c r="D3" t="s">
        <v>88</v>
      </c>
      <c r="E3">
        <v>2.4</v>
      </c>
      <c r="F3">
        <v>2.4</v>
      </c>
      <c r="G3">
        <v>1666</v>
      </c>
      <c r="H3">
        <v>4.3217286914765908E-3</v>
      </c>
      <c r="I3">
        <v>1.296518607442977E-2</v>
      </c>
      <c r="J3">
        <v>20</v>
      </c>
      <c r="K3">
        <v>700</v>
      </c>
      <c r="L3">
        <v>3</v>
      </c>
      <c r="M3">
        <v>9</v>
      </c>
      <c r="N3">
        <v>122</v>
      </c>
      <c r="O3">
        <v>2</v>
      </c>
      <c r="P3">
        <v>0.01</v>
      </c>
      <c r="Q3">
        <v>15</v>
      </c>
      <c r="R3">
        <v>16</v>
      </c>
      <c r="S3">
        <v>2</v>
      </c>
      <c r="T3">
        <v>33</v>
      </c>
      <c r="U3">
        <v>6.2500000000000003E-3</v>
      </c>
      <c r="V3" t="s">
        <v>144</v>
      </c>
      <c r="W3" t="s">
        <v>147</v>
      </c>
    </row>
    <row r="4" spans="1:23" x14ac:dyDescent="0.25">
      <c r="A4" t="s">
        <v>148</v>
      </c>
      <c r="B4">
        <v>3</v>
      </c>
      <c r="C4">
        <v>650</v>
      </c>
      <c r="D4" t="s">
        <v>88</v>
      </c>
      <c r="E4">
        <v>2.4</v>
      </c>
      <c r="F4">
        <v>2.4</v>
      </c>
      <c r="G4">
        <v>1666</v>
      </c>
      <c r="H4">
        <v>4.3217286914765908E-3</v>
      </c>
      <c r="I4">
        <v>1.296518607442977E-2</v>
      </c>
      <c r="J4">
        <v>20</v>
      </c>
      <c r="K4">
        <v>700</v>
      </c>
      <c r="L4">
        <v>3</v>
      </c>
      <c r="M4">
        <v>9</v>
      </c>
      <c r="N4">
        <v>122</v>
      </c>
      <c r="O4">
        <v>2</v>
      </c>
      <c r="P4">
        <v>0.01</v>
      </c>
      <c r="Q4">
        <v>15</v>
      </c>
      <c r="R4">
        <v>16</v>
      </c>
      <c r="S4">
        <v>2</v>
      </c>
      <c r="T4">
        <v>33</v>
      </c>
      <c r="U4">
        <v>6.2500000000000003E-3</v>
      </c>
      <c r="V4" t="s">
        <v>144</v>
      </c>
      <c r="W4" t="s">
        <v>147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Sheet1</vt:lpstr>
      <vt:lpstr>MT</vt:lpstr>
      <vt:lpstr>BT</vt:lpstr>
      <vt:lpstr>Trafos</vt:lpstr>
      <vt:lpstr>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Usuário</cp:lastModifiedBy>
  <dcterms:created xsi:type="dcterms:W3CDTF">2026-01-19T11:17:26Z</dcterms:created>
  <dcterms:modified xsi:type="dcterms:W3CDTF">2026-05-14T12:29:38Z</dcterms:modified>
</cp:coreProperties>
</file>