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MT" sheetId="2" state="visible" r:id="rId2"/>
    <sheet xmlns:r="http://schemas.openxmlformats.org/officeDocument/2006/relationships" name="BT" sheetId="3" state="visible" r:id="rId3"/>
    <sheet xmlns:r="http://schemas.openxmlformats.org/officeDocument/2006/relationships" name="Trafos" sheetId="4" state="visible" r:id="rId4"/>
    <sheet xmlns:r="http://schemas.openxmlformats.org/officeDocument/2006/relationships" name="Reg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1" fillId="0" borderId="3" applyAlignment="1" pivotButton="0" quotePrefix="0" xfId="0">
      <alignment horizontal="center" vertical="top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topLeftCell="A25" workbookViewId="0">
      <selection activeCell="A14" sqref="A14:H58"/>
    </sheetView>
  </sheetViews>
  <sheetFormatPr baseColWidth="8" defaultRowHeight="15"/>
  <sheetData>
    <row r="1">
      <c r="A1" s="1" t="inlineStr">
        <is>
          <t>l</t>
        </is>
      </c>
      <c r="B1" s="1" t="inlineStr">
        <is>
          <t>k</t>
        </is>
      </c>
      <c r="C1" s="1" t="inlineStr">
        <is>
          <t>R</t>
        </is>
      </c>
      <c r="D1" s="1" t="inlineStr">
        <is>
          <t>X</t>
        </is>
      </c>
      <c r="E1" s="1" t="inlineStr">
        <is>
          <t>Imax</t>
        </is>
      </c>
      <c r="F1" s="1" t="inlineStr">
        <is>
          <t>q_rt</t>
        </is>
      </c>
      <c r="G1" s="1" t="inlineStr">
        <is>
          <t>m</t>
        </is>
      </c>
      <c r="H1" s="1" t="inlineStr">
        <is>
          <t>phase</t>
        </is>
      </c>
    </row>
    <row r="2">
      <c r="A2" t="inlineStr">
        <is>
          <t>RG60.1</t>
        </is>
      </c>
      <c r="B2" t="inlineStr">
        <is>
          <t>632</t>
        </is>
      </c>
      <c r="C2" t="n">
        <v>693</v>
      </c>
      <c r="D2" t="n">
        <v>2035.8</v>
      </c>
      <c r="F2" t="n">
        <v>1</v>
      </c>
      <c r="G2" t="n">
        <v>1</v>
      </c>
      <c r="H2" t="inlineStr">
        <is>
          <t>1,2,3</t>
        </is>
      </c>
    </row>
    <row r="3">
      <c r="A3" t="inlineStr">
        <is>
          <t>632</t>
        </is>
      </c>
      <c r="B3" t="inlineStr">
        <is>
          <t>670</t>
        </is>
      </c>
      <c r="C3" t="n">
        <v>231.1155</v>
      </c>
      <c r="D3" t="n">
        <v>678.9393</v>
      </c>
      <c r="F3" t="n">
        <v>0</v>
      </c>
      <c r="G3" t="n">
        <v>2</v>
      </c>
      <c r="H3" t="inlineStr">
        <is>
          <t>1,2,3</t>
        </is>
      </c>
    </row>
    <row r="4">
      <c r="A4" t="inlineStr">
        <is>
          <t>670</t>
        </is>
      </c>
      <c r="B4" t="inlineStr">
        <is>
          <t>671</t>
        </is>
      </c>
      <c r="C4" t="n">
        <v>461.8844999999999</v>
      </c>
      <c r="D4" t="n">
        <v>1356.8607</v>
      </c>
      <c r="F4" t="n">
        <v>0</v>
      </c>
      <c r="G4" t="n">
        <v>3</v>
      </c>
      <c r="H4" t="inlineStr">
        <is>
          <t>1,2,3</t>
        </is>
      </c>
    </row>
    <row r="5">
      <c r="A5" t="inlineStr">
        <is>
          <t>671</t>
        </is>
      </c>
      <c r="B5" t="inlineStr">
        <is>
          <t>680</t>
        </is>
      </c>
      <c r="C5" t="n">
        <v>346.5</v>
      </c>
      <c r="D5" t="n">
        <v>1017.9</v>
      </c>
      <c r="F5" t="n">
        <v>0</v>
      </c>
      <c r="G5" t="n">
        <v>4</v>
      </c>
      <c r="H5" t="inlineStr">
        <is>
          <t>1,2,3</t>
        </is>
      </c>
    </row>
    <row r="6">
      <c r="A6" t="inlineStr">
        <is>
          <t>632</t>
        </is>
      </c>
      <c r="B6" t="inlineStr">
        <is>
          <t>633</t>
        </is>
      </c>
      <c r="C6" t="n">
        <v>376.3</v>
      </c>
      <c r="D6" t="n">
        <v>590.7</v>
      </c>
      <c r="F6" t="n">
        <v>0</v>
      </c>
      <c r="G6" t="n">
        <v>5</v>
      </c>
      <c r="H6" t="inlineStr">
        <is>
          <t>1,2,3</t>
        </is>
      </c>
    </row>
    <row r="7">
      <c r="A7" t="inlineStr">
        <is>
          <t>632</t>
        </is>
      </c>
      <c r="B7" t="inlineStr">
        <is>
          <t>645</t>
        </is>
      </c>
      <c r="C7" t="n">
        <v>661.9000000000001</v>
      </c>
      <c r="D7" t="n">
        <v>678.45</v>
      </c>
      <c r="F7" t="n">
        <v>0</v>
      </c>
      <c r="G7" t="n">
        <v>6</v>
      </c>
      <c r="H7" t="inlineStr">
        <is>
          <t>3,2</t>
        </is>
      </c>
    </row>
    <row r="8">
      <c r="A8" t="inlineStr">
        <is>
          <t>645</t>
        </is>
      </c>
      <c r="B8" t="inlineStr">
        <is>
          <t>646</t>
        </is>
      </c>
      <c r="C8" t="n">
        <v>397.14</v>
      </c>
      <c r="D8" t="n">
        <v>407.07</v>
      </c>
      <c r="F8" t="n">
        <v>0</v>
      </c>
      <c r="G8" t="n">
        <v>7</v>
      </c>
      <c r="H8" t="inlineStr">
        <is>
          <t>3,2</t>
        </is>
      </c>
    </row>
    <row r="9">
      <c r="A9" t="inlineStr">
        <is>
          <t>692</t>
        </is>
      </c>
      <c r="B9" t="inlineStr">
        <is>
          <t>675</t>
        </is>
      </c>
      <c r="C9" t="n">
        <v>395.8605</v>
      </c>
      <c r="D9" t="n">
        <v>219.176</v>
      </c>
      <c r="F9" t="n">
        <v>0</v>
      </c>
      <c r="G9" t="n">
        <v>8</v>
      </c>
      <c r="H9" t="inlineStr">
        <is>
          <t>1,2,3</t>
        </is>
      </c>
    </row>
    <row r="10">
      <c r="A10" t="inlineStr">
        <is>
          <t>671</t>
        </is>
      </c>
      <c r="B10" t="inlineStr">
        <is>
          <t>684</t>
        </is>
      </c>
      <c r="C10" t="n">
        <v>397.14</v>
      </c>
      <c r="D10" t="n">
        <v>407.07</v>
      </c>
      <c r="F10" t="n">
        <v>0</v>
      </c>
      <c r="G10" t="n">
        <v>9</v>
      </c>
      <c r="H10" t="inlineStr">
        <is>
          <t>1,3</t>
        </is>
      </c>
    </row>
    <row r="11">
      <c r="A11" t="inlineStr">
        <is>
          <t>684</t>
        </is>
      </c>
      <c r="B11" t="inlineStr">
        <is>
          <t>611</t>
        </is>
      </c>
      <c r="C11" t="n">
        <v>398.76</v>
      </c>
      <c r="D11" t="n">
        <v>404.25</v>
      </c>
      <c r="F11" t="n">
        <v>0</v>
      </c>
      <c r="G11" t="n">
        <v>10</v>
      </c>
      <c r="H11" t="inlineStr">
        <is>
          <t>3</t>
        </is>
      </c>
    </row>
    <row r="12">
      <c r="A12" t="inlineStr">
        <is>
          <t>684</t>
        </is>
      </c>
      <c r="B12" t="inlineStr">
        <is>
          <t>652</t>
        </is>
      </c>
      <c r="C12" t="n">
        <v>1074</v>
      </c>
      <c r="D12" t="n">
        <v>409.92</v>
      </c>
      <c r="F12" t="n">
        <v>0</v>
      </c>
      <c r="G12" t="n">
        <v>11</v>
      </c>
      <c r="H12" t="inlineStr">
        <is>
          <t>1</t>
        </is>
      </c>
    </row>
    <row r="13">
      <c r="A13" t="inlineStr">
        <is>
          <t>671</t>
        </is>
      </c>
      <c r="B13" t="inlineStr">
        <is>
          <t>692</t>
        </is>
      </c>
      <c r="C13" t="n">
        <v>671.25</v>
      </c>
      <c r="D13" t="n">
        <v>256.2</v>
      </c>
      <c r="F13" t="n">
        <v>0</v>
      </c>
      <c r="G13" t="n">
        <v>12</v>
      </c>
      <c r="H13" t="inlineStr">
        <is>
          <t>1,2,3</t>
        </is>
      </c>
    </row>
    <row r="14">
      <c r="A14" t="inlineStr">
        <is>
          <t>B010</t>
        </is>
      </c>
      <c r="B14" t="inlineStr">
        <is>
          <t>B011</t>
        </is>
      </c>
      <c r="C14" t="n">
        <v>0.0057</v>
      </c>
      <c r="D14" t="n">
        <v>0.001795</v>
      </c>
      <c r="F14" t="n">
        <v>0</v>
      </c>
      <c r="G14" t="n">
        <v>13</v>
      </c>
      <c r="H14" t="inlineStr">
        <is>
          <t>1,2,3</t>
        </is>
      </c>
    </row>
    <row r="15">
      <c r="A15" t="inlineStr">
        <is>
          <t>B011</t>
        </is>
      </c>
      <c r="B15" t="inlineStr">
        <is>
          <t>B012</t>
        </is>
      </c>
      <c r="C15" t="n">
        <v>0.0057</v>
      </c>
      <c r="D15" t="n">
        <v>0.001795</v>
      </c>
      <c r="F15" t="n">
        <v>0</v>
      </c>
      <c r="G15" t="n">
        <v>14</v>
      </c>
      <c r="H15" t="inlineStr">
        <is>
          <t>1,2,3</t>
        </is>
      </c>
    </row>
    <row r="16">
      <c r="A16" t="inlineStr">
        <is>
          <t>B012</t>
        </is>
      </c>
      <c r="B16" t="inlineStr">
        <is>
          <t>B013</t>
        </is>
      </c>
      <c r="C16" t="n">
        <v>0.0057</v>
      </c>
      <c r="D16" t="n">
        <v>0.001795</v>
      </c>
      <c r="F16" t="n">
        <v>0</v>
      </c>
      <c r="G16" t="n">
        <v>15</v>
      </c>
      <c r="H16" t="inlineStr">
        <is>
          <t>1,2,3</t>
        </is>
      </c>
    </row>
    <row r="17">
      <c r="A17" t="inlineStr">
        <is>
          <t>B013</t>
        </is>
      </c>
      <c r="B17" t="inlineStr">
        <is>
          <t>B014</t>
        </is>
      </c>
      <c r="C17" t="n">
        <v>0.0057</v>
      </c>
      <c r="D17" t="n">
        <v>0.001795</v>
      </c>
      <c r="F17" t="n">
        <v>0</v>
      </c>
      <c r="G17" t="n">
        <v>16</v>
      </c>
      <c r="H17" t="inlineStr">
        <is>
          <t>1,2,3</t>
        </is>
      </c>
    </row>
    <row r="18">
      <c r="A18" t="inlineStr">
        <is>
          <t>B020</t>
        </is>
      </c>
      <c r="B18" t="inlineStr">
        <is>
          <t>B021</t>
        </is>
      </c>
      <c r="C18" t="n">
        <v>0.0057</v>
      </c>
      <c r="D18" t="n">
        <v>0.001795</v>
      </c>
      <c r="F18" t="n">
        <v>0</v>
      </c>
      <c r="G18" t="n">
        <v>17</v>
      </c>
      <c r="H18" t="inlineStr">
        <is>
          <t>1,2,3</t>
        </is>
      </c>
    </row>
    <row r="19">
      <c r="A19" t="inlineStr">
        <is>
          <t>B021</t>
        </is>
      </c>
      <c r="B19" t="inlineStr">
        <is>
          <t>B022</t>
        </is>
      </c>
      <c r="C19" t="n">
        <v>0.0057</v>
      </c>
      <c r="D19" t="n">
        <v>0.001795</v>
      </c>
      <c r="F19" t="n">
        <v>0</v>
      </c>
      <c r="G19" t="n">
        <v>18</v>
      </c>
      <c r="H19" t="inlineStr">
        <is>
          <t>1,2,3</t>
        </is>
      </c>
    </row>
    <row r="20">
      <c r="A20" t="inlineStr">
        <is>
          <t>B022</t>
        </is>
      </c>
      <c r="B20" t="inlineStr">
        <is>
          <t>B023</t>
        </is>
      </c>
      <c r="C20" t="n">
        <v>0.0057</v>
      </c>
      <c r="D20" t="n">
        <v>0.001795</v>
      </c>
      <c r="F20" t="n">
        <v>0</v>
      </c>
      <c r="G20" t="n">
        <v>19</v>
      </c>
      <c r="H20" t="inlineStr">
        <is>
          <t>1,2,3</t>
        </is>
      </c>
    </row>
    <row r="21">
      <c r="A21" t="inlineStr">
        <is>
          <t>B023</t>
        </is>
      </c>
      <c r="B21" t="inlineStr">
        <is>
          <t>B024</t>
        </is>
      </c>
      <c r="C21" t="n">
        <v>0.0057</v>
      </c>
      <c r="D21" t="n">
        <v>0.001795</v>
      </c>
      <c r="F21" t="n">
        <v>0</v>
      </c>
      <c r="G21" t="n">
        <v>20</v>
      </c>
      <c r="H21" t="inlineStr">
        <is>
          <t>1,2,3</t>
        </is>
      </c>
    </row>
    <row r="22">
      <c r="A22" t="inlineStr">
        <is>
          <t>B030</t>
        </is>
      </c>
      <c r="B22" t="inlineStr">
        <is>
          <t>B031</t>
        </is>
      </c>
      <c r="C22" t="n">
        <v>0.0057</v>
      </c>
      <c r="D22" t="n">
        <v>0.001795</v>
      </c>
      <c r="F22" t="n">
        <v>0</v>
      </c>
      <c r="G22" t="n">
        <v>21</v>
      </c>
      <c r="H22" t="inlineStr">
        <is>
          <t>1,2,3</t>
        </is>
      </c>
    </row>
    <row r="23">
      <c r="A23" t="inlineStr">
        <is>
          <t>B031</t>
        </is>
      </c>
      <c r="B23" t="inlineStr">
        <is>
          <t>B032</t>
        </is>
      </c>
      <c r="C23" t="n">
        <v>0.0057</v>
      </c>
      <c r="D23" t="n">
        <v>0.001795</v>
      </c>
      <c r="F23" t="n">
        <v>0</v>
      </c>
      <c r="G23" t="n">
        <v>22</v>
      </c>
      <c r="H23" t="inlineStr">
        <is>
          <t>1,2,3</t>
        </is>
      </c>
    </row>
    <row r="24">
      <c r="A24" t="inlineStr">
        <is>
          <t>B032</t>
        </is>
      </c>
      <c r="B24" t="inlineStr">
        <is>
          <t>B033</t>
        </is>
      </c>
      <c r="C24" t="n">
        <v>0.0057</v>
      </c>
      <c r="D24" t="n">
        <v>0.001795</v>
      </c>
      <c r="F24" t="n">
        <v>0</v>
      </c>
      <c r="G24" t="n">
        <v>23</v>
      </c>
      <c r="H24" t="inlineStr">
        <is>
          <t>1,2,3</t>
        </is>
      </c>
    </row>
    <row r="25">
      <c r="A25" t="inlineStr">
        <is>
          <t>B033</t>
        </is>
      </c>
      <c r="B25" t="inlineStr">
        <is>
          <t>B034</t>
        </is>
      </c>
      <c r="C25" t="n">
        <v>0.0057</v>
      </c>
      <c r="D25" t="n">
        <v>0.001795</v>
      </c>
      <c r="F25" t="n">
        <v>0</v>
      </c>
      <c r="G25" t="n">
        <v>24</v>
      </c>
      <c r="H25" t="inlineStr">
        <is>
          <t>1,2,3</t>
        </is>
      </c>
    </row>
    <row r="26">
      <c r="A26" t="inlineStr">
        <is>
          <t>B040</t>
        </is>
      </c>
      <c r="B26" t="inlineStr">
        <is>
          <t>B041</t>
        </is>
      </c>
      <c r="C26" t="n">
        <v>0.0057</v>
      </c>
      <c r="D26" t="n">
        <v>0.001795</v>
      </c>
      <c r="F26" t="n">
        <v>0</v>
      </c>
      <c r="G26" t="n">
        <v>25</v>
      </c>
      <c r="H26" t="inlineStr">
        <is>
          <t>1,2,3</t>
        </is>
      </c>
    </row>
    <row r="27">
      <c r="A27" t="inlineStr">
        <is>
          <t>B041</t>
        </is>
      </c>
      <c r="B27" t="inlineStr">
        <is>
          <t>B042</t>
        </is>
      </c>
      <c r="C27" t="n">
        <v>0.0057</v>
      </c>
      <c r="D27" t="n">
        <v>0.001795</v>
      </c>
      <c r="F27" t="n">
        <v>0</v>
      </c>
      <c r="G27" t="n">
        <v>26</v>
      </c>
      <c r="H27" t="inlineStr">
        <is>
          <t>1,2,3</t>
        </is>
      </c>
    </row>
    <row r="28">
      <c r="A28" t="inlineStr">
        <is>
          <t>B042</t>
        </is>
      </c>
      <c r="B28" t="inlineStr">
        <is>
          <t>B043</t>
        </is>
      </c>
      <c r="C28" t="n">
        <v>0.0057</v>
      </c>
      <c r="D28" t="n">
        <v>0.001795</v>
      </c>
      <c r="F28" t="n">
        <v>0</v>
      </c>
      <c r="G28" t="n">
        <v>27</v>
      </c>
      <c r="H28" t="inlineStr">
        <is>
          <t>1,2,3</t>
        </is>
      </c>
    </row>
    <row r="29">
      <c r="A29" t="inlineStr">
        <is>
          <t>B043</t>
        </is>
      </c>
      <c r="B29" t="inlineStr">
        <is>
          <t>B044</t>
        </is>
      </c>
      <c r="C29" t="n">
        <v>0.0057</v>
      </c>
      <c r="D29" t="n">
        <v>0.001795</v>
      </c>
      <c r="F29" t="n">
        <v>0</v>
      </c>
      <c r="G29" t="n">
        <v>28</v>
      </c>
      <c r="H29" t="inlineStr">
        <is>
          <t>1,2,3</t>
        </is>
      </c>
    </row>
    <row r="30">
      <c r="A30" t="inlineStr">
        <is>
          <t>B050</t>
        </is>
      </c>
      <c r="B30" t="inlineStr">
        <is>
          <t>B051</t>
        </is>
      </c>
      <c r="C30" t="n">
        <v>0.0057</v>
      </c>
      <c r="D30" t="n">
        <v>0.001795</v>
      </c>
      <c r="F30" t="n">
        <v>0</v>
      </c>
      <c r="G30" t="n">
        <v>29</v>
      </c>
      <c r="H30" t="inlineStr">
        <is>
          <t>1,2,3</t>
        </is>
      </c>
    </row>
    <row r="31">
      <c r="A31" t="inlineStr">
        <is>
          <t>B051</t>
        </is>
      </c>
      <c r="B31" t="inlineStr">
        <is>
          <t>B052</t>
        </is>
      </c>
      <c r="C31" t="n">
        <v>0.0057</v>
      </c>
      <c r="D31" t="n">
        <v>0.001795</v>
      </c>
      <c r="F31" t="n">
        <v>0</v>
      </c>
      <c r="G31" t="n">
        <v>30</v>
      </c>
      <c r="H31" t="inlineStr">
        <is>
          <t>1,2,3</t>
        </is>
      </c>
    </row>
    <row r="32">
      <c r="A32" t="inlineStr">
        <is>
          <t>B052</t>
        </is>
      </c>
      <c r="B32" t="inlineStr">
        <is>
          <t>B053</t>
        </is>
      </c>
      <c r="C32" t="n">
        <v>0.0057</v>
      </c>
      <c r="D32" t="n">
        <v>0.001795</v>
      </c>
      <c r="F32" t="n">
        <v>0</v>
      </c>
      <c r="G32" t="n">
        <v>31</v>
      </c>
      <c r="H32" t="inlineStr">
        <is>
          <t>1,2,3</t>
        </is>
      </c>
    </row>
    <row r="33">
      <c r="A33" t="inlineStr">
        <is>
          <t>B053</t>
        </is>
      </c>
      <c r="B33" t="inlineStr">
        <is>
          <t>B054</t>
        </is>
      </c>
      <c r="C33" t="n">
        <v>0.0057</v>
      </c>
      <c r="D33" t="n">
        <v>0.001795</v>
      </c>
      <c r="F33" t="n">
        <v>0</v>
      </c>
      <c r="G33" t="n">
        <v>32</v>
      </c>
      <c r="H33" t="inlineStr">
        <is>
          <t>1,2,3</t>
        </is>
      </c>
    </row>
    <row r="34">
      <c r="A34" t="inlineStr">
        <is>
          <t>B060</t>
        </is>
      </c>
      <c r="B34" t="inlineStr">
        <is>
          <t>B061</t>
        </is>
      </c>
      <c r="C34" t="n">
        <v>0.007000000000000001</v>
      </c>
      <c r="D34" t="n">
        <v>0.001785</v>
      </c>
      <c r="F34" t="n">
        <v>0</v>
      </c>
      <c r="G34" t="n">
        <v>33</v>
      </c>
      <c r="H34" t="inlineStr">
        <is>
          <t>1</t>
        </is>
      </c>
    </row>
    <row r="35">
      <c r="A35" t="inlineStr">
        <is>
          <t>B061</t>
        </is>
      </c>
      <c r="B35" t="inlineStr">
        <is>
          <t>B062</t>
        </is>
      </c>
      <c r="C35" t="n">
        <v>0.007000000000000001</v>
      </c>
      <c r="D35" t="n">
        <v>0.001785</v>
      </c>
      <c r="F35" t="n">
        <v>0</v>
      </c>
      <c r="G35" t="n">
        <v>34</v>
      </c>
      <c r="H35" t="inlineStr">
        <is>
          <t>1</t>
        </is>
      </c>
    </row>
    <row r="36">
      <c r="A36" t="inlineStr">
        <is>
          <t>B062</t>
        </is>
      </c>
      <c r="B36" t="inlineStr">
        <is>
          <t>B063</t>
        </is>
      </c>
      <c r="C36" t="n">
        <v>0.007000000000000001</v>
      </c>
      <c r="D36" t="n">
        <v>0.001785</v>
      </c>
      <c r="F36" t="n">
        <v>0</v>
      </c>
      <c r="G36" t="n">
        <v>35</v>
      </c>
      <c r="H36" t="inlineStr">
        <is>
          <t>1</t>
        </is>
      </c>
    </row>
    <row r="37">
      <c r="A37" t="inlineStr">
        <is>
          <t>B063</t>
        </is>
      </c>
      <c r="B37" t="inlineStr">
        <is>
          <t>B064</t>
        </is>
      </c>
      <c r="C37" t="n">
        <v>0.007000000000000001</v>
      </c>
      <c r="D37" t="n">
        <v>0.001785</v>
      </c>
      <c r="F37" t="n">
        <v>0</v>
      </c>
      <c r="G37" t="n">
        <v>36</v>
      </c>
      <c r="H37" t="inlineStr">
        <is>
          <t>1</t>
        </is>
      </c>
    </row>
    <row r="38">
      <c r="A38" t="inlineStr">
        <is>
          <t>B070</t>
        </is>
      </c>
      <c r="B38" t="inlineStr">
        <is>
          <t>B071</t>
        </is>
      </c>
      <c r="C38" t="n">
        <v>0.007000000000000001</v>
      </c>
      <c r="D38" t="n">
        <v>0.001785</v>
      </c>
      <c r="F38" t="n">
        <v>0</v>
      </c>
      <c r="G38" t="n">
        <v>37</v>
      </c>
      <c r="H38" t="inlineStr">
        <is>
          <t>1</t>
        </is>
      </c>
    </row>
    <row r="39">
      <c r="A39" t="inlineStr">
        <is>
          <t>B071</t>
        </is>
      </c>
      <c r="B39" t="inlineStr">
        <is>
          <t>B072</t>
        </is>
      </c>
      <c r="C39" t="n">
        <v>0.007000000000000001</v>
      </c>
      <c r="D39" t="n">
        <v>0.001785</v>
      </c>
      <c r="F39" t="n">
        <v>0</v>
      </c>
      <c r="G39" t="n">
        <v>38</v>
      </c>
      <c r="H39" t="inlineStr">
        <is>
          <t>1</t>
        </is>
      </c>
    </row>
    <row r="40">
      <c r="A40" t="inlineStr">
        <is>
          <t>B072</t>
        </is>
      </c>
      <c r="B40" t="inlineStr">
        <is>
          <t>B073</t>
        </is>
      </c>
      <c r="C40" t="n">
        <v>0.007000000000000001</v>
      </c>
      <c r="D40" t="n">
        <v>0.001785</v>
      </c>
      <c r="F40" t="n">
        <v>0</v>
      </c>
      <c r="G40" t="n">
        <v>39</v>
      </c>
      <c r="H40" t="inlineStr">
        <is>
          <t>1</t>
        </is>
      </c>
    </row>
    <row r="41">
      <c r="A41" t="inlineStr">
        <is>
          <t>B073</t>
        </is>
      </c>
      <c r="B41" t="inlineStr">
        <is>
          <t>B074</t>
        </is>
      </c>
      <c r="C41" t="n">
        <v>0.007000000000000001</v>
      </c>
      <c r="D41" t="n">
        <v>0.001785</v>
      </c>
      <c r="F41" t="n">
        <v>0</v>
      </c>
      <c r="G41" t="n">
        <v>40</v>
      </c>
      <c r="H41" t="inlineStr">
        <is>
          <t>1</t>
        </is>
      </c>
    </row>
    <row r="42">
      <c r="A42" t="inlineStr">
        <is>
          <t>B080</t>
        </is>
      </c>
      <c r="B42" t="inlineStr">
        <is>
          <t>B081</t>
        </is>
      </c>
      <c r="C42" t="n">
        <v>0.007000000000000001</v>
      </c>
      <c r="D42" t="n">
        <v>0.001785</v>
      </c>
      <c r="F42" t="n">
        <v>0</v>
      </c>
      <c r="G42" t="n">
        <v>41</v>
      </c>
      <c r="H42" t="inlineStr">
        <is>
          <t>3</t>
        </is>
      </c>
    </row>
    <row r="43">
      <c r="A43" t="inlineStr">
        <is>
          <t>B081</t>
        </is>
      </c>
      <c r="B43" t="inlineStr">
        <is>
          <t>B082</t>
        </is>
      </c>
      <c r="C43" t="n">
        <v>0.007000000000000001</v>
      </c>
      <c r="D43" t="n">
        <v>0.001785</v>
      </c>
      <c r="F43" t="n">
        <v>0</v>
      </c>
      <c r="G43" t="n">
        <v>42</v>
      </c>
      <c r="H43" t="inlineStr">
        <is>
          <t>3</t>
        </is>
      </c>
    </row>
    <row r="44">
      <c r="A44" t="inlineStr">
        <is>
          <t>B082</t>
        </is>
      </c>
      <c r="B44" t="inlineStr">
        <is>
          <t>B083</t>
        </is>
      </c>
      <c r="C44" t="n">
        <v>0.007000000000000001</v>
      </c>
      <c r="D44" t="n">
        <v>0.001785</v>
      </c>
      <c r="F44" t="n">
        <v>0</v>
      </c>
      <c r="G44" t="n">
        <v>43</v>
      </c>
      <c r="H44" t="inlineStr">
        <is>
          <t>3</t>
        </is>
      </c>
    </row>
    <row r="45">
      <c r="A45" t="inlineStr">
        <is>
          <t>B083</t>
        </is>
      </c>
      <c r="B45" t="inlineStr">
        <is>
          <t>B084</t>
        </is>
      </c>
      <c r="C45" t="n">
        <v>0.007000000000000001</v>
      </c>
      <c r="D45" t="n">
        <v>0.001785</v>
      </c>
      <c r="F45" t="n">
        <v>0</v>
      </c>
      <c r="G45" t="n">
        <v>44</v>
      </c>
      <c r="H45" t="inlineStr">
        <is>
          <t>3</t>
        </is>
      </c>
    </row>
    <row r="46">
      <c r="A46" t="inlineStr">
        <is>
          <t>B090</t>
        </is>
      </c>
      <c r="B46" t="inlineStr">
        <is>
          <t>B091</t>
        </is>
      </c>
      <c r="C46" t="n">
        <v>0.007000000000000001</v>
      </c>
      <c r="D46" t="n">
        <v>0.001785</v>
      </c>
      <c r="F46" t="n">
        <v>0</v>
      </c>
      <c r="G46" t="n">
        <v>45</v>
      </c>
      <c r="H46" t="inlineStr">
        <is>
          <t>2</t>
        </is>
      </c>
    </row>
    <row r="47">
      <c r="A47" t="inlineStr">
        <is>
          <t>B091</t>
        </is>
      </c>
      <c r="B47" t="inlineStr">
        <is>
          <t>B092</t>
        </is>
      </c>
      <c r="C47" t="n">
        <v>0.007000000000000001</v>
      </c>
      <c r="D47" t="n">
        <v>0.001785</v>
      </c>
      <c r="F47" t="n">
        <v>0</v>
      </c>
      <c r="G47" t="n">
        <v>46</v>
      </c>
      <c r="H47" t="inlineStr">
        <is>
          <t>2</t>
        </is>
      </c>
    </row>
    <row r="48">
      <c r="A48" t="inlineStr">
        <is>
          <t>B092</t>
        </is>
      </c>
      <c r="B48" t="inlineStr">
        <is>
          <t>B093</t>
        </is>
      </c>
      <c r="C48" t="n">
        <v>0.007000000000000001</v>
      </c>
      <c r="D48" t="n">
        <v>0.001785</v>
      </c>
      <c r="F48" t="n">
        <v>0</v>
      </c>
      <c r="G48" t="n">
        <v>47</v>
      </c>
      <c r="H48" t="inlineStr">
        <is>
          <t>2</t>
        </is>
      </c>
    </row>
    <row r="49">
      <c r="A49" t="inlineStr">
        <is>
          <t>B093</t>
        </is>
      </c>
      <c r="B49" t="inlineStr">
        <is>
          <t>B094</t>
        </is>
      </c>
      <c r="C49" t="n">
        <v>0.007000000000000001</v>
      </c>
      <c r="D49" t="n">
        <v>0.001785</v>
      </c>
      <c r="F49" t="n">
        <v>0</v>
      </c>
      <c r="G49" t="n">
        <v>48</v>
      </c>
      <c r="H49" t="inlineStr">
        <is>
          <t>2</t>
        </is>
      </c>
    </row>
    <row r="50">
      <c r="A50" t="inlineStr">
        <is>
          <t>B100</t>
        </is>
      </c>
      <c r="B50" t="inlineStr">
        <is>
          <t>B101</t>
        </is>
      </c>
      <c r="C50" t="n">
        <v>0.007000000000000001</v>
      </c>
      <c r="D50" t="n">
        <v>0.001785</v>
      </c>
      <c r="F50" t="n">
        <v>0</v>
      </c>
      <c r="G50" t="n">
        <v>49</v>
      </c>
      <c r="H50" t="inlineStr">
        <is>
          <t>3</t>
        </is>
      </c>
    </row>
    <row r="51">
      <c r="A51" t="inlineStr">
        <is>
          <t>B101</t>
        </is>
      </c>
      <c r="B51" t="inlineStr">
        <is>
          <t>B102</t>
        </is>
      </c>
      <c r="C51" t="n">
        <v>0.007000000000000001</v>
      </c>
      <c r="D51" t="n">
        <v>0.001785</v>
      </c>
      <c r="F51" t="n">
        <v>0</v>
      </c>
      <c r="G51" t="n">
        <v>50</v>
      </c>
      <c r="H51" t="inlineStr">
        <is>
          <t>3</t>
        </is>
      </c>
    </row>
    <row r="52">
      <c r="A52" t="inlineStr">
        <is>
          <t>B102</t>
        </is>
      </c>
      <c r="B52" t="inlineStr">
        <is>
          <t>B103</t>
        </is>
      </c>
      <c r="C52" t="n">
        <v>0.007000000000000001</v>
      </c>
      <c r="D52" t="n">
        <v>0.001785</v>
      </c>
      <c r="F52" t="n">
        <v>0</v>
      </c>
      <c r="G52" t="n">
        <v>51</v>
      </c>
      <c r="H52" t="inlineStr">
        <is>
          <t>3</t>
        </is>
      </c>
    </row>
    <row r="53">
      <c r="A53" t="inlineStr">
        <is>
          <t>B103</t>
        </is>
      </c>
      <c r="B53" t="inlineStr">
        <is>
          <t>B104</t>
        </is>
      </c>
      <c r="C53" t="n">
        <v>0.007000000000000001</v>
      </c>
      <c r="D53" t="n">
        <v>0.001785</v>
      </c>
      <c r="F53" t="n">
        <v>0</v>
      </c>
      <c r="G53" t="n">
        <v>52</v>
      </c>
      <c r="H53" t="inlineStr">
        <is>
          <t>3</t>
        </is>
      </c>
    </row>
    <row r="54">
      <c r="A54" t="inlineStr">
        <is>
          <t>B110</t>
        </is>
      </c>
      <c r="B54" t="inlineStr">
        <is>
          <t>B111</t>
        </is>
      </c>
      <c r="C54" t="n">
        <v>0.007000000000000001</v>
      </c>
      <c r="D54" t="n">
        <v>0.001785</v>
      </c>
      <c r="F54" t="n">
        <v>0</v>
      </c>
      <c r="G54" t="n">
        <v>53</v>
      </c>
      <c r="H54" t="inlineStr">
        <is>
          <t>2</t>
        </is>
      </c>
    </row>
    <row r="55">
      <c r="A55" t="inlineStr">
        <is>
          <t>B111</t>
        </is>
      </c>
      <c r="B55" t="inlineStr">
        <is>
          <t>B112</t>
        </is>
      </c>
      <c r="C55" t="n">
        <v>0.007000000000000001</v>
      </c>
      <c r="D55" t="n">
        <v>0.001785</v>
      </c>
      <c r="F55" t="n">
        <v>0</v>
      </c>
      <c r="G55" t="n">
        <v>54</v>
      </c>
      <c r="H55" t="inlineStr">
        <is>
          <t>2</t>
        </is>
      </c>
    </row>
    <row r="56">
      <c r="A56" t="inlineStr">
        <is>
          <t>B112</t>
        </is>
      </c>
      <c r="B56" t="inlineStr">
        <is>
          <t>B113</t>
        </is>
      </c>
      <c r="C56" t="n">
        <v>0.007000000000000001</v>
      </c>
      <c r="D56" t="n">
        <v>0.001785</v>
      </c>
      <c r="F56" t="n">
        <v>0</v>
      </c>
      <c r="G56" t="n">
        <v>55</v>
      </c>
      <c r="H56" t="inlineStr">
        <is>
          <t>2</t>
        </is>
      </c>
    </row>
    <row r="57">
      <c r="A57" t="inlineStr">
        <is>
          <t>B113</t>
        </is>
      </c>
      <c r="B57" t="inlineStr">
        <is>
          <t>B114</t>
        </is>
      </c>
      <c r="C57" t="n">
        <v>0.007000000000000001</v>
      </c>
      <c r="D57" t="n">
        <v>0.001785</v>
      </c>
      <c r="F57" t="n">
        <v>0</v>
      </c>
      <c r="G57" t="n">
        <v>56</v>
      </c>
      <c r="H57" t="inlineStr">
        <is>
          <t>2</t>
        </is>
      </c>
    </row>
    <row r="58">
      <c r="A58" t="inlineStr">
        <is>
          <t>SourceBus</t>
        </is>
      </c>
      <c r="B58" t="inlineStr">
        <is>
          <t>650</t>
        </is>
      </c>
      <c r="C58" t="n">
        <v>0</v>
      </c>
      <c r="D58" t="n">
        <v>0</v>
      </c>
      <c r="F58" t="n">
        <v>0</v>
      </c>
      <c r="G58" t="n">
        <v>57</v>
      </c>
      <c r="H58" t="inlineStr">
        <is>
          <t>1,2,3</t>
        </is>
      </c>
    </row>
    <row r="59">
      <c r="A59" t="inlineStr">
        <is>
          <t>650</t>
        </is>
      </c>
      <c r="B59" t="inlineStr">
        <is>
          <t>RG60.1</t>
        </is>
      </c>
      <c r="C59" t="n">
        <v>0.004321728691476591</v>
      </c>
      <c r="D59" t="n">
        <v>0.01296518607442977</v>
      </c>
      <c r="F59" t="n">
        <v>1</v>
      </c>
      <c r="G59" t="n">
        <v>58</v>
      </c>
      <c r="H59" t="inlineStr">
        <is>
          <t>1</t>
        </is>
      </c>
    </row>
    <row r="60">
      <c r="A60" t="inlineStr">
        <is>
          <t>650</t>
        </is>
      </c>
      <c r="B60" t="inlineStr">
        <is>
          <t>RG60.2</t>
        </is>
      </c>
      <c r="C60" t="n">
        <v>0.004321728691476591</v>
      </c>
      <c r="D60" t="n">
        <v>0.01296518607442977</v>
      </c>
      <c r="F60" t="n">
        <v>1</v>
      </c>
      <c r="G60" t="n">
        <v>59</v>
      </c>
      <c r="H60" t="inlineStr">
        <is>
          <t>2</t>
        </is>
      </c>
    </row>
    <row r="61">
      <c r="A61" t="inlineStr">
        <is>
          <t>650</t>
        </is>
      </c>
      <c r="B61" t="inlineStr">
        <is>
          <t>RG60.3</t>
        </is>
      </c>
      <c r="C61" t="n">
        <v>0.004321728691476591</v>
      </c>
      <c r="D61" t="n">
        <v>0.01296518607442977</v>
      </c>
      <c r="F61" t="n">
        <v>1</v>
      </c>
      <c r="G61" t="n">
        <v>60</v>
      </c>
      <c r="H61" t="inlineStr">
        <is>
          <t>3</t>
        </is>
      </c>
    </row>
    <row r="62">
      <c r="A62" t="inlineStr">
        <is>
          <t>633</t>
        </is>
      </c>
      <c r="B62" t="inlineStr">
        <is>
          <t>B010</t>
        </is>
      </c>
      <c r="C62" t="n">
        <v>0.1903616</v>
      </c>
      <c r="D62" t="n">
        <v>0.692224</v>
      </c>
      <c r="F62" t="n">
        <v>0</v>
      </c>
      <c r="G62" t="n">
        <v>61</v>
      </c>
      <c r="H62" t="inlineStr">
        <is>
          <t>1,2,3</t>
        </is>
      </c>
    </row>
    <row r="63">
      <c r="A63" t="inlineStr">
        <is>
          <t>675</t>
        </is>
      </c>
      <c r="B63" t="inlineStr">
        <is>
          <t>B020</t>
        </is>
      </c>
      <c r="C63" t="n">
        <v>0.1903616</v>
      </c>
      <c r="D63" t="n">
        <v>0.692224</v>
      </c>
      <c r="F63" t="n">
        <v>0</v>
      </c>
      <c r="G63" t="n">
        <v>62</v>
      </c>
      <c r="H63" t="inlineStr">
        <is>
          <t>1,2,3</t>
        </is>
      </c>
    </row>
    <row r="64">
      <c r="A64" t="inlineStr">
        <is>
          <t>675</t>
        </is>
      </c>
      <c r="B64" t="inlineStr">
        <is>
          <t>B030</t>
        </is>
      </c>
      <c r="C64" t="n">
        <v>0.1903616</v>
      </c>
      <c r="D64" t="n">
        <v>0.692224</v>
      </c>
      <c r="F64" t="n">
        <v>0</v>
      </c>
      <c r="G64" t="n">
        <v>63</v>
      </c>
      <c r="H64" t="inlineStr">
        <is>
          <t>1,2,3</t>
        </is>
      </c>
    </row>
    <row r="65">
      <c r="A65" t="inlineStr">
        <is>
          <t>680</t>
        </is>
      </c>
      <c r="B65" t="inlineStr">
        <is>
          <t>B040</t>
        </is>
      </c>
      <c r="C65" t="n">
        <v>0.1903616</v>
      </c>
      <c r="D65" t="n">
        <v>0.692224</v>
      </c>
      <c r="F65" t="n">
        <v>0</v>
      </c>
      <c r="G65" t="n">
        <v>64</v>
      </c>
      <c r="H65" t="inlineStr">
        <is>
          <t>1,2,3</t>
        </is>
      </c>
    </row>
    <row r="66">
      <c r="A66" t="inlineStr">
        <is>
          <t>671</t>
        </is>
      </c>
      <c r="B66" t="inlineStr">
        <is>
          <t>B050</t>
        </is>
      </c>
      <c r="C66" t="n">
        <v>0.1903616</v>
      </c>
      <c r="D66" t="n">
        <v>0.692224</v>
      </c>
      <c r="F66" t="n">
        <v>0</v>
      </c>
      <c r="G66" t="n">
        <v>65</v>
      </c>
      <c r="H66" t="inlineStr">
        <is>
          <t>1,2,3</t>
        </is>
      </c>
    </row>
    <row r="67">
      <c r="A67" t="inlineStr">
        <is>
          <t>692</t>
        </is>
      </c>
      <c r="B67" t="inlineStr">
        <is>
          <t>B060</t>
        </is>
      </c>
      <c r="C67" t="n">
        <v>0.2112</v>
      </c>
      <c r="D67" t="n">
        <v>0.768</v>
      </c>
      <c r="F67" t="n">
        <v>0</v>
      </c>
      <c r="G67" t="n">
        <v>66</v>
      </c>
      <c r="H67" t="inlineStr">
        <is>
          <t>1</t>
        </is>
      </c>
    </row>
    <row r="68">
      <c r="A68" t="inlineStr">
        <is>
          <t>652</t>
        </is>
      </c>
      <c r="B68" t="inlineStr">
        <is>
          <t>B070</t>
        </is>
      </c>
      <c r="C68" t="n">
        <v>0.2112</v>
      </c>
      <c r="D68" t="n">
        <v>0.768</v>
      </c>
      <c r="F68" t="n">
        <v>0</v>
      </c>
      <c r="G68" t="n">
        <v>67</v>
      </c>
      <c r="H68" t="inlineStr">
        <is>
          <t>1</t>
        </is>
      </c>
    </row>
    <row r="69">
      <c r="A69" t="inlineStr">
        <is>
          <t>611</t>
        </is>
      </c>
      <c r="B69" t="inlineStr">
        <is>
          <t>B080</t>
        </is>
      </c>
      <c r="C69" t="n">
        <v>0.2112</v>
      </c>
      <c r="D69" t="n">
        <v>0.768</v>
      </c>
      <c r="F69" t="n">
        <v>0</v>
      </c>
      <c r="G69" t="n">
        <v>68</v>
      </c>
      <c r="H69" t="inlineStr">
        <is>
          <t>3</t>
        </is>
      </c>
    </row>
    <row r="70">
      <c r="A70" t="inlineStr">
        <is>
          <t>646</t>
        </is>
      </c>
      <c r="B70" t="inlineStr">
        <is>
          <t>B090</t>
        </is>
      </c>
      <c r="C70" t="n">
        <v>0.2112</v>
      </c>
      <c r="D70" t="n">
        <v>0.768</v>
      </c>
      <c r="F70" t="n">
        <v>0</v>
      </c>
      <c r="G70" t="n">
        <v>69</v>
      </c>
      <c r="H70" t="inlineStr">
        <is>
          <t>2</t>
        </is>
      </c>
    </row>
    <row r="71">
      <c r="A71" t="inlineStr">
        <is>
          <t>646</t>
        </is>
      </c>
      <c r="B71" t="inlineStr">
        <is>
          <t>B100</t>
        </is>
      </c>
      <c r="C71" t="n">
        <v>0.2112</v>
      </c>
      <c r="D71" t="n">
        <v>0.768</v>
      </c>
      <c r="F71" t="n">
        <v>0</v>
      </c>
      <c r="G71" t="n">
        <v>70</v>
      </c>
      <c r="H71" t="inlineStr">
        <is>
          <t>3</t>
        </is>
      </c>
    </row>
    <row r="72">
      <c r="A72" t="inlineStr">
        <is>
          <t>645</t>
        </is>
      </c>
      <c r="B72" t="inlineStr">
        <is>
          <t>B110</t>
        </is>
      </c>
      <c r="C72" t="n">
        <v>0.2112</v>
      </c>
      <c r="D72" t="n">
        <v>0.768</v>
      </c>
      <c r="F72" t="n">
        <v>0</v>
      </c>
      <c r="G72" t="n">
        <v>71</v>
      </c>
      <c r="H72" t="inlineStr">
        <is>
          <t>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tabSelected="1" workbookViewId="0">
      <selection activeCell="H14" sqref="H14"/>
    </sheetView>
  </sheetViews>
  <sheetFormatPr baseColWidth="8" defaultRowHeight="15"/>
  <sheetData>
    <row r="1">
      <c r="A1" s="1" t="inlineStr">
        <is>
          <t>l</t>
        </is>
      </c>
      <c r="B1" s="1" t="inlineStr">
        <is>
          <t>k</t>
        </is>
      </c>
      <c r="C1" s="1" t="inlineStr">
        <is>
          <t>R</t>
        </is>
      </c>
      <c r="D1" s="1" t="inlineStr">
        <is>
          <t>X</t>
        </is>
      </c>
      <c r="E1" s="1" t="inlineStr">
        <is>
          <t>Imax</t>
        </is>
      </c>
      <c r="F1" s="1" t="inlineStr">
        <is>
          <t>q_rt</t>
        </is>
      </c>
      <c r="G1" s="1" t="inlineStr">
        <is>
          <t>m</t>
        </is>
      </c>
      <c r="H1" s="1" t="inlineStr">
        <is>
          <t>phase</t>
        </is>
      </c>
      <c r="I1" s="2" t="inlineStr">
        <is>
          <t>Length_m</t>
        </is>
      </c>
      <c r="J1" s="2" t="inlineStr">
        <is>
          <t>Comentario</t>
        </is>
      </c>
    </row>
    <row r="2">
      <c r="A2" t="n">
        <v>632</v>
      </c>
      <c r="B2" t="inlineStr">
        <is>
          <t>RG60</t>
        </is>
      </c>
      <c r="C2" t="n">
        <v>0.043157</v>
      </c>
      <c r="D2" t="n">
        <v>0.130493</v>
      </c>
      <c r="E2" t="n">
        <v>730</v>
      </c>
      <c r="F2" t="n">
        <v>0</v>
      </c>
      <c r="G2" t="n">
        <v>1</v>
      </c>
      <c r="H2" t="inlineStr">
        <is>
          <t>1,2,3</t>
        </is>
      </c>
      <c r="I2">
        <f>2000/3.281</f>
        <v/>
      </c>
      <c r="J2" t="inlineStr">
        <is>
          <t>Ramo até o regulador / Cabo CAA 556.5 KCM 26/7F DOVE CL A , amapacidade em amperes</t>
        </is>
      </c>
    </row>
    <row r="3">
      <c r="A3" t="n">
        <v>632</v>
      </c>
      <c r="B3" t="n">
        <v>670</v>
      </c>
      <c r="C3" t="n">
        <v>0.014393</v>
      </c>
      <c r="D3" t="n">
        <v>0.043519</v>
      </c>
      <c r="E3" t="n">
        <v>730</v>
      </c>
      <c r="F3" t="n">
        <v>0</v>
      </c>
      <c r="G3" t="n">
        <v>2</v>
      </c>
      <c r="H3" t="inlineStr">
        <is>
          <t>1,2,3</t>
        </is>
      </c>
      <c r="I3">
        <f>667/3.281</f>
        <v/>
      </c>
    </row>
    <row r="4">
      <c r="A4" t="n">
        <v>670</v>
      </c>
      <c r="B4" t="n">
        <v>671</v>
      </c>
      <c r="C4" t="n">
        <v>0.028764</v>
      </c>
      <c r="D4" t="n">
        <v>0.08697299999999999</v>
      </c>
      <c r="E4" t="n">
        <v>730</v>
      </c>
      <c r="F4" t="n">
        <v>0</v>
      </c>
      <c r="G4" t="n">
        <v>3</v>
      </c>
      <c r="H4" t="inlineStr">
        <is>
          <t>1,2,3</t>
        </is>
      </c>
      <c r="I4">
        <f>1333/3.281</f>
        <v/>
      </c>
    </row>
    <row r="5">
      <c r="A5" t="n">
        <v>671</v>
      </c>
      <c r="B5" t="n">
        <v>680</v>
      </c>
      <c r="C5" t="n">
        <v>0.021578</v>
      </c>
      <c r="D5" t="n">
        <v>0.065246</v>
      </c>
      <c r="E5" t="n">
        <v>730</v>
      </c>
      <c r="F5" t="n">
        <v>0</v>
      </c>
      <c r="G5" t="n">
        <v>4</v>
      </c>
      <c r="H5" t="inlineStr">
        <is>
          <t>1,2,3</t>
        </is>
      </c>
      <c r="I5">
        <f>1000/3.281</f>
        <v/>
      </c>
    </row>
    <row r="6">
      <c r="A6" t="n">
        <v>632</v>
      </c>
      <c r="B6" t="n">
        <v>633</v>
      </c>
      <c r="C6" t="n">
        <v>0.023608</v>
      </c>
      <c r="D6" t="n">
        <v>0.037783</v>
      </c>
      <c r="E6" t="n">
        <v>357</v>
      </c>
      <c r="F6" t="n">
        <v>0</v>
      </c>
      <c r="G6" t="n">
        <v>5</v>
      </c>
      <c r="H6" t="inlineStr">
        <is>
          <t>1,2,3</t>
        </is>
      </c>
      <c r="I6">
        <f>500/3.281</f>
        <v/>
      </c>
      <c r="J6" t="inlineStr">
        <is>
          <t>Ampacidade: https://assets.southwire.com/adaptivemedia/rendition?id=6e40b948ad8bbb2c69490138659678cbf373c912&amp;prid=origin&amp;clid=SAPDAM (Penguin 4/0 AWG, pg2)</t>
        </is>
      </c>
    </row>
    <row r="7">
      <c r="A7" t="n">
        <v>632</v>
      </c>
      <c r="B7" t="n">
        <v>645</v>
      </c>
      <c r="C7" t="n">
        <v>0.06281299999999999</v>
      </c>
      <c r="D7" t="n">
        <v>0.064015</v>
      </c>
      <c r="E7" t="n">
        <v>242</v>
      </c>
      <c r="F7" t="n">
        <v>0</v>
      </c>
      <c r="G7" t="n">
        <v>6</v>
      </c>
      <c r="H7" t="inlineStr">
        <is>
          <t>3,2</t>
        </is>
      </c>
      <c r="I7">
        <f>500/3.281</f>
        <v/>
      </c>
      <c r="J7" t="inlineStr">
        <is>
          <t>Ampacidade: https://assets.southwire.com/adaptivemedia/rendition?id=6e40b948ad8bbb2c69490138659678cbf373c912&amp;prid=origin&amp;clid=SAPDAM (Raven 1/0 AWG, pg2)</t>
        </is>
      </c>
    </row>
    <row r="8">
      <c r="A8" t="n">
        <v>645</v>
      </c>
      <c r="B8" t="n">
        <v>646</v>
      </c>
      <c r="C8" t="n">
        <v>0.037688</v>
      </c>
      <c r="D8" t="n">
        <v>0.038409</v>
      </c>
      <c r="E8" t="n">
        <v>242</v>
      </c>
      <c r="F8" t="n">
        <v>0</v>
      </c>
      <c r="G8" t="n">
        <v>7</v>
      </c>
      <c r="H8" t="inlineStr">
        <is>
          <t>3,2</t>
        </is>
      </c>
      <c r="I8">
        <f>300/3.281</f>
        <v/>
      </c>
    </row>
    <row r="9">
      <c r="A9" t="n">
        <v>692</v>
      </c>
      <c r="B9" t="n">
        <v>675</v>
      </c>
      <c r="C9" t="n">
        <v>0.024885</v>
      </c>
      <c r="D9" t="n">
        <v>0.013399</v>
      </c>
      <c r="E9" t="n">
        <v>215</v>
      </c>
      <c r="F9" t="n">
        <v>0</v>
      </c>
      <c r="G9" t="n">
        <v>8</v>
      </c>
      <c r="H9" t="inlineStr">
        <is>
          <t>1,2,3</t>
        </is>
      </c>
      <c r="I9">
        <f>500/3.281</f>
        <v/>
      </c>
      <c r="J9" t="inlineStr">
        <is>
          <t>Ampacidade: https://www.lapptannehill.com/resources/technical-information/ampacity-chart 250 Kcmil ,60C</t>
        </is>
      </c>
    </row>
    <row r="10">
      <c r="A10" t="n">
        <v>671</v>
      </c>
      <c r="B10" t="n">
        <v>684</v>
      </c>
      <c r="C10" t="n">
        <v>0.037688</v>
      </c>
      <c r="D10" t="n">
        <v>0.038409</v>
      </c>
      <c r="E10" t="n">
        <v>242</v>
      </c>
      <c r="F10" t="n">
        <v>0</v>
      </c>
      <c r="G10" t="n">
        <v>9</v>
      </c>
      <c r="H10" t="inlineStr">
        <is>
          <t>1,3</t>
        </is>
      </c>
      <c r="I10">
        <f>300/3.281</f>
        <v/>
      </c>
      <c r="J10" t="inlineStr">
        <is>
          <t>Ampacidade: https://assets.southwire.com/adaptivemedia/rendition?id=6e40b948ad8bbb2c69490138659678cbf373c912&amp;prid=origin&amp;clid=SAPDAM (Raven 1/0 AWG, pg2)</t>
        </is>
      </c>
    </row>
    <row r="11">
      <c r="A11" t="n">
        <v>684</v>
      </c>
      <c r="B11" t="n">
        <v>611</v>
      </c>
      <c r="C11" t="n">
        <v>0.07552300000000001</v>
      </c>
      <c r="D11" t="n">
        <v>0.07656300000000001</v>
      </c>
      <c r="E11" t="n">
        <v>242</v>
      </c>
      <c r="F11" t="n">
        <v>0</v>
      </c>
      <c r="G11" t="n">
        <v>10</v>
      </c>
      <c r="H11" t="n">
        <v>3</v>
      </c>
      <c r="I11">
        <f>300/3.281</f>
        <v/>
      </c>
      <c r="J11" t="inlineStr">
        <is>
          <t>Ampacidade: https://assets.southwire.com/adaptivemedia/rendition?id=6e40b948ad8bbb2c69490138659678cbf373c912&amp;prid=origin&amp;clid=SAPDAM (Raven 1/0 AWG, pg2)</t>
        </is>
      </c>
    </row>
    <row r="12">
      <c r="A12" t="n">
        <v>684</v>
      </c>
      <c r="B12" t="n">
        <v>652</v>
      </c>
      <c r="C12" t="n">
        <v>0.20341</v>
      </c>
      <c r="D12" t="n">
        <v>0.077637</v>
      </c>
      <c r="E12" t="n">
        <v>242</v>
      </c>
      <c r="F12" t="n">
        <v>0</v>
      </c>
      <c r="G12" t="n">
        <v>11</v>
      </c>
      <c r="H12" t="n">
        <v>1</v>
      </c>
      <c r="I12">
        <f>800/3.281</f>
        <v/>
      </c>
      <c r="J12" t="inlineStr">
        <is>
          <t>Ampacidade: https://assets.southwire.com/adaptivemedia/rendition?id=6e40b948ad8bbb2c69490138659678cbf373c912&amp;prid=origin&amp;clid=SAPDAM (Raven 1/0 AWG, pg2)</t>
        </is>
      </c>
    </row>
    <row r="13">
      <c r="A13" t="n">
        <v>671</v>
      </c>
      <c r="B13" t="n">
        <v>692</v>
      </c>
      <c r="C13" t="n">
        <v>0.127131</v>
      </c>
      <c r="D13" t="n">
        <v>0.048523</v>
      </c>
      <c r="E13" t="n">
        <v>242</v>
      </c>
      <c r="F13" t="n">
        <v>0</v>
      </c>
      <c r="G13" t="n">
        <v>12</v>
      </c>
      <c r="H13" t="inlineStr">
        <is>
          <t>1,2,3</t>
        </is>
      </c>
      <c r="I13">
        <f>500/3.281</f>
        <v/>
      </c>
      <c r="J13" t="inlineStr">
        <is>
          <t>Ampacidade: https://assets.southwire.com/adaptivemedia/rendition?id=6e40b948ad8bbb2c69490138659678cbf373c912&amp;prid=origin&amp;clid=SAPDAM (Raven 1/0 AWG, pg2)</t>
        </is>
      </c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:I2"/>
    </sheetView>
  </sheetViews>
  <sheetFormatPr baseColWidth="8" defaultRowHeight="15"/>
  <sheetData>
    <row r="1">
      <c r="A1" s="1" t="inlineStr">
        <is>
          <t>l</t>
        </is>
      </c>
      <c r="B1" s="1" t="inlineStr">
        <is>
          <t>k</t>
        </is>
      </c>
      <c r="C1" s="1" t="inlineStr">
        <is>
          <t>R</t>
        </is>
      </c>
      <c r="D1" s="1" t="inlineStr">
        <is>
          <t>X</t>
        </is>
      </c>
      <c r="E1" s="1" t="inlineStr">
        <is>
          <t>Imax</t>
        </is>
      </c>
      <c r="F1" s="1" t="inlineStr">
        <is>
          <t>q_rt</t>
        </is>
      </c>
      <c r="G1" s="1" t="inlineStr">
        <is>
          <t>m</t>
        </is>
      </c>
      <c r="H1" s="1" t="inlineStr">
        <is>
          <t>phase</t>
        </is>
      </c>
      <c r="I1" s="2" t="inlineStr">
        <is>
          <t>Length_m</t>
        </is>
      </c>
      <c r="J1" s="2" t="inlineStr">
        <is>
          <t>Comentario</t>
        </is>
      </c>
    </row>
    <row r="2">
      <c r="A2" t="inlineStr">
        <is>
          <t>B010</t>
        </is>
      </c>
      <c r="B2" t="inlineStr">
        <is>
          <t>B011</t>
        </is>
      </c>
      <c r="C2" t="n">
        <v>0.00456</v>
      </c>
      <c r="D2" t="n">
        <v>0.00142</v>
      </c>
      <c r="E2" t="n">
        <v>305</v>
      </c>
      <c r="F2" t="n">
        <v>0</v>
      </c>
      <c r="G2" t="n">
        <v>13</v>
      </c>
      <c r="H2" t="inlineStr">
        <is>
          <t>1,2,3</t>
        </is>
      </c>
      <c r="I2">
        <f>0.05*1000</f>
        <v/>
      </c>
      <c r="J2" t="inlineStr">
        <is>
          <t>Ampacidade: https://www.bayka.de/wp-content/uploads/2022/07/XLPE-insulated-low-voltage-cables.pdf</t>
        </is>
      </c>
    </row>
    <row r="3">
      <c r="A3" t="inlineStr">
        <is>
          <t>B011</t>
        </is>
      </c>
      <c r="B3" t="inlineStr">
        <is>
          <t>B012</t>
        </is>
      </c>
      <c r="C3" t="n">
        <v>0.00456</v>
      </c>
      <c r="D3" t="n">
        <v>0.00142</v>
      </c>
      <c r="E3" t="n">
        <v>305</v>
      </c>
      <c r="F3" t="n">
        <v>0</v>
      </c>
      <c r="G3" t="n">
        <v>14</v>
      </c>
      <c r="H3" t="inlineStr">
        <is>
          <t>1,2,3</t>
        </is>
      </c>
      <c r="I3">
        <f>0.05*1000</f>
        <v/>
      </c>
    </row>
    <row r="4">
      <c r="A4" t="inlineStr">
        <is>
          <t>B012</t>
        </is>
      </c>
      <c r="B4" t="inlineStr">
        <is>
          <t>B013</t>
        </is>
      </c>
      <c r="C4" t="n">
        <v>0.00456</v>
      </c>
      <c r="D4" t="n">
        <v>0.00142</v>
      </c>
      <c r="E4" t="n">
        <v>305</v>
      </c>
      <c r="F4" t="n">
        <v>0</v>
      </c>
      <c r="G4" t="n">
        <v>15</v>
      </c>
      <c r="H4" t="inlineStr">
        <is>
          <t>1,2,3</t>
        </is>
      </c>
      <c r="I4">
        <f>0.05*1000</f>
        <v/>
      </c>
    </row>
    <row r="5">
      <c r="A5" t="inlineStr">
        <is>
          <t>B013</t>
        </is>
      </c>
      <c r="B5" t="inlineStr">
        <is>
          <t>B014</t>
        </is>
      </c>
      <c r="C5" t="n">
        <v>0.00456</v>
      </c>
      <c r="D5" t="n">
        <v>0.00142</v>
      </c>
      <c r="E5" t="n">
        <v>305</v>
      </c>
      <c r="F5" t="n">
        <v>0</v>
      </c>
      <c r="G5" t="n">
        <v>16</v>
      </c>
      <c r="H5" t="inlineStr">
        <is>
          <t>1,2,3</t>
        </is>
      </c>
      <c r="I5">
        <f>0.05*1000</f>
        <v/>
      </c>
    </row>
    <row r="6">
      <c r="A6" t="inlineStr">
        <is>
          <t>B020</t>
        </is>
      </c>
      <c r="B6" t="inlineStr">
        <is>
          <t>B021</t>
        </is>
      </c>
      <c r="C6" t="n">
        <v>0.00456</v>
      </c>
      <c r="D6" t="n">
        <v>0.00142</v>
      </c>
      <c r="E6" t="n">
        <v>305</v>
      </c>
      <c r="F6" t="n">
        <v>0</v>
      </c>
      <c r="G6" t="n">
        <v>17</v>
      </c>
      <c r="H6" t="inlineStr">
        <is>
          <t>1,2,3</t>
        </is>
      </c>
      <c r="I6">
        <f>0.05*1000</f>
        <v/>
      </c>
    </row>
    <row r="7">
      <c r="A7" t="inlineStr">
        <is>
          <t>B021</t>
        </is>
      </c>
      <c r="B7" t="inlineStr">
        <is>
          <t>B022</t>
        </is>
      </c>
      <c r="C7" t="n">
        <v>0.00456</v>
      </c>
      <c r="D7" t="n">
        <v>0.00142</v>
      </c>
      <c r="E7" t="n">
        <v>305</v>
      </c>
      <c r="F7" t="n">
        <v>0</v>
      </c>
      <c r="G7" t="n">
        <v>18</v>
      </c>
      <c r="H7" t="inlineStr">
        <is>
          <t>1,2,3</t>
        </is>
      </c>
      <c r="I7">
        <f>0.05*1000</f>
        <v/>
      </c>
    </row>
    <row r="8">
      <c r="A8" t="inlineStr">
        <is>
          <t>B022</t>
        </is>
      </c>
      <c r="B8" t="inlineStr">
        <is>
          <t>B023</t>
        </is>
      </c>
      <c r="C8" t="n">
        <v>0.00456</v>
      </c>
      <c r="D8" t="n">
        <v>0.00142</v>
      </c>
      <c r="E8" t="n">
        <v>305</v>
      </c>
      <c r="F8" t="n">
        <v>0</v>
      </c>
      <c r="G8" t="n">
        <v>19</v>
      </c>
      <c r="H8" t="inlineStr">
        <is>
          <t>1,2,3</t>
        </is>
      </c>
      <c r="I8">
        <f>0.05*1000</f>
        <v/>
      </c>
    </row>
    <row r="9">
      <c r="A9" t="inlineStr">
        <is>
          <t>B023</t>
        </is>
      </c>
      <c r="B9" t="inlineStr">
        <is>
          <t>B024</t>
        </is>
      </c>
      <c r="C9" t="n">
        <v>0.00456</v>
      </c>
      <c r="D9" t="n">
        <v>0.00142</v>
      </c>
      <c r="E9" t="n">
        <v>305</v>
      </c>
      <c r="F9" t="n">
        <v>0</v>
      </c>
      <c r="G9" t="n">
        <v>20</v>
      </c>
      <c r="H9" t="inlineStr">
        <is>
          <t>1,2,3</t>
        </is>
      </c>
      <c r="I9">
        <f>0.05*1000</f>
        <v/>
      </c>
    </row>
    <row r="10">
      <c r="A10" t="inlineStr">
        <is>
          <t>B030</t>
        </is>
      </c>
      <c r="B10" t="inlineStr">
        <is>
          <t>B031</t>
        </is>
      </c>
      <c r="C10" t="n">
        <v>0.00456</v>
      </c>
      <c r="D10" t="n">
        <v>0.00142</v>
      </c>
      <c r="E10" t="n">
        <v>305</v>
      </c>
      <c r="F10" t="n">
        <v>0</v>
      </c>
      <c r="G10" t="n">
        <v>21</v>
      </c>
      <c r="H10" t="inlineStr">
        <is>
          <t>1,2,3</t>
        </is>
      </c>
      <c r="I10">
        <f>0.05*1000</f>
        <v/>
      </c>
    </row>
    <row r="11">
      <c r="A11" t="inlineStr">
        <is>
          <t>B031</t>
        </is>
      </c>
      <c r="B11" t="inlineStr">
        <is>
          <t>B032</t>
        </is>
      </c>
      <c r="C11" t="n">
        <v>0.00456</v>
      </c>
      <c r="D11" t="n">
        <v>0.00142</v>
      </c>
      <c r="E11" t="n">
        <v>305</v>
      </c>
      <c r="F11" t="n">
        <v>0</v>
      </c>
      <c r="G11" t="n">
        <v>22</v>
      </c>
      <c r="H11" t="inlineStr">
        <is>
          <t>1,2,3</t>
        </is>
      </c>
      <c r="I11">
        <f>0.05*1000</f>
        <v/>
      </c>
    </row>
    <row r="12">
      <c r="A12" t="inlineStr">
        <is>
          <t>B032</t>
        </is>
      </c>
      <c r="B12" t="inlineStr">
        <is>
          <t>B033</t>
        </is>
      </c>
      <c r="C12" t="n">
        <v>0.00456</v>
      </c>
      <c r="D12" t="n">
        <v>0.00142</v>
      </c>
      <c r="E12" t="n">
        <v>305</v>
      </c>
      <c r="F12" t="n">
        <v>0</v>
      </c>
      <c r="G12" t="n">
        <v>23</v>
      </c>
      <c r="H12" t="inlineStr">
        <is>
          <t>1,2,3</t>
        </is>
      </c>
      <c r="I12">
        <f>0.05*1000</f>
        <v/>
      </c>
    </row>
    <row r="13">
      <c r="A13" t="inlineStr">
        <is>
          <t>B033</t>
        </is>
      </c>
      <c r="B13" t="inlineStr">
        <is>
          <t>B034</t>
        </is>
      </c>
      <c r="C13" t="n">
        <v>0.00456</v>
      </c>
      <c r="D13" t="n">
        <v>0.00142</v>
      </c>
      <c r="E13" t="n">
        <v>305</v>
      </c>
      <c r="F13" t="n">
        <v>0</v>
      </c>
      <c r="G13" t="n">
        <v>24</v>
      </c>
      <c r="H13" t="inlineStr">
        <is>
          <t>1,2,3</t>
        </is>
      </c>
      <c r="I13">
        <f>0.05*1000</f>
        <v/>
      </c>
    </row>
    <row r="14">
      <c r="A14" t="inlineStr">
        <is>
          <t>B040</t>
        </is>
      </c>
      <c r="B14" t="inlineStr">
        <is>
          <t>B041</t>
        </is>
      </c>
      <c r="C14" t="n">
        <v>0.00456</v>
      </c>
      <c r="D14" t="n">
        <v>0.00142</v>
      </c>
      <c r="E14" t="n">
        <v>305</v>
      </c>
      <c r="F14" t="n">
        <v>0</v>
      </c>
      <c r="G14" t="n">
        <v>25</v>
      </c>
      <c r="H14" t="inlineStr">
        <is>
          <t>1,2,3</t>
        </is>
      </c>
      <c r="I14">
        <f>0.05*1000</f>
        <v/>
      </c>
    </row>
    <row r="15">
      <c r="A15" t="inlineStr">
        <is>
          <t>B041</t>
        </is>
      </c>
      <c r="B15" t="inlineStr">
        <is>
          <t>B042</t>
        </is>
      </c>
      <c r="C15" t="n">
        <v>0.00456</v>
      </c>
      <c r="D15" t="n">
        <v>0.00142</v>
      </c>
      <c r="E15" t="n">
        <v>305</v>
      </c>
      <c r="F15" t="n">
        <v>0</v>
      </c>
      <c r="G15" t="n">
        <v>26</v>
      </c>
      <c r="H15" t="inlineStr">
        <is>
          <t>1,2,3</t>
        </is>
      </c>
      <c r="I15">
        <f>0.05*1000</f>
        <v/>
      </c>
    </row>
    <row r="16">
      <c r="A16" t="inlineStr">
        <is>
          <t>B042</t>
        </is>
      </c>
      <c r="B16" t="inlineStr">
        <is>
          <t>B043</t>
        </is>
      </c>
      <c r="C16" t="n">
        <v>0.00456</v>
      </c>
      <c r="D16" t="n">
        <v>0.00142</v>
      </c>
      <c r="E16" t="n">
        <v>305</v>
      </c>
      <c r="F16" t="n">
        <v>0</v>
      </c>
      <c r="G16" t="n">
        <v>27</v>
      </c>
      <c r="H16" t="inlineStr">
        <is>
          <t>1,2,3</t>
        </is>
      </c>
      <c r="I16">
        <f>0.05*1000</f>
        <v/>
      </c>
    </row>
    <row r="17">
      <c r="A17" t="inlineStr">
        <is>
          <t>B043</t>
        </is>
      </c>
      <c r="B17" t="inlineStr">
        <is>
          <t>B044</t>
        </is>
      </c>
      <c r="C17" t="n">
        <v>0.00456</v>
      </c>
      <c r="D17" t="n">
        <v>0.00142</v>
      </c>
      <c r="E17" t="n">
        <v>305</v>
      </c>
      <c r="F17" t="n">
        <v>0</v>
      </c>
      <c r="G17" t="n">
        <v>28</v>
      </c>
      <c r="H17" t="inlineStr">
        <is>
          <t>1,2,3</t>
        </is>
      </c>
      <c r="I17">
        <f>0.05*1000</f>
        <v/>
      </c>
    </row>
    <row r="18">
      <c r="A18" t="inlineStr">
        <is>
          <t>B050</t>
        </is>
      </c>
      <c r="B18" t="inlineStr">
        <is>
          <t>B051</t>
        </is>
      </c>
      <c r="C18" t="n">
        <v>0.00456</v>
      </c>
      <c r="D18" t="n">
        <v>0.00142</v>
      </c>
      <c r="E18" t="n">
        <v>305</v>
      </c>
      <c r="F18" t="n">
        <v>0</v>
      </c>
      <c r="G18" t="n">
        <v>29</v>
      </c>
      <c r="H18" t="inlineStr">
        <is>
          <t>1,2,3</t>
        </is>
      </c>
      <c r="I18">
        <f>0.05*1000</f>
        <v/>
      </c>
    </row>
    <row r="19">
      <c r="A19" t="inlineStr">
        <is>
          <t>B051</t>
        </is>
      </c>
      <c r="B19" t="inlineStr">
        <is>
          <t>B052</t>
        </is>
      </c>
      <c r="C19" t="n">
        <v>0.00456</v>
      </c>
      <c r="D19" t="n">
        <v>0.00142</v>
      </c>
      <c r="E19" t="n">
        <v>305</v>
      </c>
      <c r="F19" t="n">
        <v>0</v>
      </c>
      <c r="G19" t="n">
        <v>30</v>
      </c>
      <c r="H19" t="inlineStr">
        <is>
          <t>1,2,3</t>
        </is>
      </c>
      <c r="I19">
        <f>0.05*1000</f>
        <v/>
      </c>
    </row>
    <row r="20">
      <c r="A20" t="inlineStr">
        <is>
          <t>B052</t>
        </is>
      </c>
      <c r="B20" t="inlineStr">
        <is>
          <t>B053</t>
        </is>
      </c>
      <c r="C20" t="n">
        <v>0.00456</v>
      </c>
      <c r="D20" t="n">
        <v>0.00142</v>
      </c>
      <c r="E20" t="n">
        <v>305</v>
      </c>
      <c r="F20" t="n">
        <v>0</v>
      </c>
      <c r="G20" t="n">
        <v>31</v>
      </c>
      <c r="H20" t="inlineStr">
        <is>
          <t>1,2,3</t>
        </is>
      </c>
      <c r="I20">
        <f>0.05*1000</f>
        <v/>
      </c>
    </row>
    <row r="21">
      <c r="A21" t="inlineStr">
        <is>
          <t>B053</t>
        </is>
      </c>
      <c r="B21" t="inlineStr">
        <is>
          <t>B054</t>
        </is>
      </c>
      <c r="C21" t="n">
        <v>0.00456</v>
      </c>
      <c r="D21" t="n">
        <v>0.00142</v>
      </c>
      <c r="E21" t="n">
        <v>305</v>
      </c>
      <c r="F21" t="n">
        <v>0</v>
      </c>
      <c r="G21" t="n">
        <v>32</v>
      </c>
      <c r="H21" t="inlineStr">
        <is>
          <t>1,2,3</t>
        </is>
      </c>
      <c r="I21">
        <f>0.05*1000</f>
        <v/>
      </c>
    </row>
    <row r="22">
      <c r="A22" t="inlineStr">
        <is>
          <t>B060</t>
        </is>
      </c>
      <c r="B22" t="inlineStr">
        <is>
          <t>B061</t>
        </is>
      </c>
      <c r="C22" t="n">
        <v>0.007</v>
      </c>
      <c r="D22" t="n">
        <v>0.001785</v>
      </c>
      <c r="E22" t="n">
        <v>280</v>
      </c>
      <c r="F22" t="n">
        <v>0</v>
      </c>
      <c r="G22" t="n">
        <v>33</v>
      </c>
      <c r="H22" t="n">
        <v>1</v>
      </c>
      <c r="I22">
        <f>0.05*1000</f>
        <v/>
      </c>
      <c r="J22" t="inlineStr">
        <is>
          <t>Ampacidade: https://www.hongdacable.com/xlpe-insulated-single-core-120mm2-aluminum-cable.html</t>
        </is>
      </c>
    </row>
    <row r="23">
      <c r="A23" t="inlineStr">
        <is>
          <t>B061</t>
        </is>
      </c>
      <c r="B23" t="inlineStr">
        <is>
          <t>B062</t>
        </is>
      </c>
      <c r="C23" t="n">
        <v>0.007</v>
      </c>
      <c r="D23" t="n">
        <v>0.001785</v>
      </c>
      <c r="E23" t="n">
        <v>280</v>
      </c>
      <c r="F23" t="n">
        <v>0</v>
      </c>
      <c r="G23" t="n">
        <v>34</v>
      </c>
      <c r="H23" t="n">
        <v>1</v>
      </c>
      <c r="I23">
        <f>0.05*1000</f>
        <v/>
      </c>
    </row>
    <row r="24">
      <c r="A24" t="inlineStr">
        <is>
          <t>B062</t>
        </is>
      </c>
      <c r="B24" t="inlineStr">
        <is>
          <t>B063</t>
        </is>
      </c>
      <c r="C24" t="n">
        <v>0.007</v>
      </c>
      <c r="D24" t="n">
        <v>0.001785</v>
      </c>
      <c r="E24" t="n">
        <v>280</v>
      </c>
      <c r="F24" t="n">
        <v>0</v>
      </c>
      <c r="G24" t="n">
        <v>35</v>
      </c>
      <c r="H24" t="n">
        <v>1</v>
      </c>
      <c r="I24">
        <f>0.05*1000</f>
        <v/>
      </c>
    </row>
    <row r="25">
      <c r="A25" t="inlineStr">
        <is>
          <t>B063</t>
        </is>
      </c>
      <c r="B25" t="inlineStr">
        <is>
          <t>B064</t>
        </is>
      </c>
      <c r="C25" t="n">
        <v>0.007</v>
      </c>
      <c r="D25" t="n">
        <v>0.001785</v>
      </c>
      <c r="E25" t="n">
        <v>280</v>
      </c>
      <c r="F25" t="n">
        <v>0</v>
      </c>
      <c r="G25" t="n">
        <v>36</v>
      </c>
      <c r="H25" t="n">
        <v>1</v>
      </c>
      <c r="I25">
        <f>0.05*1000</f>
        <v/>
      </c>
    </row>
    <row r="26">
      <c r="A26" t="inlineStr">
        <is>
          <t>B070</t>
        </is>
      </c>
      <c r="B26" t="inlineStr">
        <is>
          <t>B071</t>
        </is>
      </c>
      <c r="C26" t="n">
        <v>0.007</v>
      </c>
      <c r="D26" t="n">
        <v>0.001785</v>
      </c>
      <c r="E26" t="n">
        <v>280</v>
      </c>
      <c r="F26" t="n">
        <v>0</v>
      </c>
      <c r="G26" t="n">
        <v>37</v>
      </c>
      <c r="H26" t="n">
        <v>1</v>
      </c>
      <c r="I26">
        <f>0.05*1000</f>
        <v/>
      </c>
    </row>
    <row r="27">
      <c r="A27" t="inlineStr">
        <is>
          <t>B071</t>
        </is>
      </c>
      <c r="B27" t="inlineStr">
        <is>
          <t>B072</t>
        </is>
      </c>
      <c r="C27" t="n">
        <v>0.007</v>
      </c>
      <c r="D27" t="n">
        <v>0.001785</v>
      </c>
      <c r="E27" t="n">
        <v>280</v>
      </c>
      <c r="F27" t="n">
        <v>0</v>
      </c>
      <c r="G27" t="n">
        <v>38</v>
      </c>
      <c r="H27" t="n">
        <v>1</v>
      </c>
      <c r="I27">
        <f>0.05*1000</f>
        <v/>
      </c>
    </row>
    <row r="28">
      <c r="A28" t="inlineStr">
        <is>
          <t>B072</t>
        </is>
      </c>
      <c r="B28" t="inlineStr">
        <is>
          <t>B073</t>
        </is>
      </c>
      <c r="C28" t="n">
        <v>0.007</v>
      </c>
      <c r="D28" t="n">
        <v>0.001785</v>
      </c>
      <c r="E28" t="n">
        <v>280</v>
      </c>
      <c r="F28" t="n">
        <v>0</v>
      </c>
      <c r="G28" t="n">
        <v>39</v>
      </c>
      <c r="H28" t="n">
        <v>1</v>
      </c>
      <c r="I28">
        <f>0.05*1000</f>
        <v/>
      </c>
    </row>
    <row r="29">
      <c r="A29" t="inlineStr">
        <is>
          <t>B073</t>
        </is>
      </c>
      <c r="B29" t="inlineStr">
        <is>
          <t>B074</t>
        </is>
      </c>
      <c r="C29" t="n">
        <v>0.007</v>
      </c>
      <c r="D29" t="n">
        <v>0.001785</v>
      </c>
      <c r="E29" t="n">
        <v>280</v>
      </c>
      <c r="F29" t="n">
        <v>0</v>
      </c>
      <c r="G29" t="n">
        <v>40</v>
      </c>
      <c r="H29" t="n">
        <v>1</v>
      </c>
      <c r="I29">
        <f>0.05*1000</f>
        <v/>
      </c>
    </row>
    <row r="30">
      <c r="A30" t="inlineStr">
        <is>
          <t>B080</t>
        </is>
      </c>
      <c r="B30" t="inlineStr">
        <is>
          <t>B081</t>
        </is>
      </c>
      <c r="C30" t="n">
        <v>0.007</v>
      </c>
      <c r="D30" t="n">
        <v>0.001785</v>
      </c>
      <c r="E30" t="n">
        <v>280</v>
      </c>
      <c r="F30" t="n">
        <v>0</v>
      </c>
      <c r="G30" t="n">
        <v>41</v>
      </c>
      <c r="H30" t="n">
        <v>3</v>
      </c>
      <c r="I30">
        <f>0.05*1000</f>
        <v/>
      </c>
    </row>
    <row r="31">
      <c r="A31" t="inlineStr">
        <is>
          <t>B081</t>
        </is>
      </c>
      <c r="B31" t="inlineStr">
        <is>
          <t>B082</t>
        </is>
      </c>
      <c r="C31" t="n">
        <v>0.007</v>
      </c>
      <c r="D31" t="n">
        <v>0.001785</v>
      </c>
      <c r="E31" t="n">
        <v>280</v>
      </c>
      <c r="F31" t="n">
        <v>0</v>
      </c>
      <c r="G31" t="n">
        <v>42</v>
      </c>
      <c r="H31" t="n">
        <v>3</v>
      </c>
      <c r="I31">
        <f>0.05*1000</f>
        <v/>
      </c>
    </row>
    <row r="32">
      <c r="A32" t="inlineStr">
        <is>
          <t>B082</t>
        </is>
      </c>
      <c r="B32" t="inlineStr">
        <is>
          <t>B083</t>
        </is>
      </c>
      <c r="C32" t="n">
        <v>0.007</v>
      </c>
      <c r="D32" t="n">
        <v>0.001785</v>
      </c>
      <c r="E32" t="n">
        <v>280</v>
      </c>
      <c r="F32" t="n">
        <v>0</v>
      </c>
      <c r="G32" t="n">
        <v>43</v>
      </c>
      <c r="H32" t="n">
        <v>3</v>
      </c>
      <c r="I32">
        <f>0.05*1000</f>
        <v/>
      </c>
    </row>
    <row r="33">
      <c r="A33" t="inlineStr">
        <is>
          <t>B083</t>
        </is>
      </c>
      <c r="B33" t="inlineStr">
        <is>
          <t>B084</t>
        </is>
      </c>
      <c r="C33" t="n">
        <v>0.007</v>
      </c>
      <c r="D33" t="n">
        <v>0.001785</v>
      </c>
      <c r="E33" t="n">
        <v>280</v>
      </c>
      <c r="F33" t="n">
        <v>0</v>
      </c>
      <c r="G33" t="n">
        <v>44</v>
      </c>
      <c r="H33" t="n">
        <v>3</v>
      </c>
      <c r="I33">
        <f>0.05*1000</f>
        <v/>
      </c>
    </row>
    <row r="34">
      <c r="A34" t="inlineStr">
        <is>
          <t>B090</t>
        </is>
      </c>
      <c r="B34" t="inlineStr">
        <is>
          <t>B091</t>
        </is>
      </c>
      <c r="C34" t="n">
        <v>0.007</v>
      </c>
      <c r="D34" t="n">
        <v>0.001785</v>
      </c>
      <c r="E34" t="n">
        <v>280</v>
      </c>
      <c r="F34" t="n">
        <v>0</v>
      </c>
      <c r="G34" t="n">
        <v>45</v>
      </c>
      <c r="H34" t="n">
        <v>2</v>
      </c>
      <c r="I34">
        <f>0.05*1000</f>
        <v/>
      </c>
    </row>
    <row r="35">
      <c r="A35" t="inlineStr">
        <is>
          <t>B091</t>
        </is>
      </c>
      <c r="B35" t="inlineStr">
        <is>
          <t>B092</t>
        </is>
      </c>
      <c r="C35" t="n">
        <v>0.007</v>
      </c>
      <c r="D35" t="n">
        <v>0.001785</v>
      </c>
      <c r="E35" t="n">
        <v>280</v>
      </c>
      <c r="F35" t="n">
        <v>0</v>
      </c>
      <c r="G35" t="n">
        <v>46</v>
      </c>
      <c r="H35" t="n">
        <v>2</v>
      </c>
      <c r="I35">
        <f>0.05*1000</f>
        <v/>
      </c>
    </row>
    <row r="36">
      <c r="A36" t="inlineStr">
        <is>
          <t>B092</t>
        </is>
      </c>
      <c r="B36" t="inlineStr">
        <is>
          <t>B093</t>
        </is>
      </c>
      <c r="C36" t="n">
        <v>0.007</v>
      </c>
      <c r="D36" t="n">
        <v>0.001785</v>
      </c>
      <c r="E36" t="n">
        <v>280</v>
      </c>
      <c r="F36" t="n">
        <v>0</v>
      </c>
      <c r="G36" t="n">
        <v>47</v>
      </c>
      <c r="H36" t="n">
        <v>2</v>
      </c>
      <c r="I36">
        <f>0.05*1000</f>
        <v/>
      </c>
    </row>
    <row r="37">
      <c r="A37" t="inlineStr">
        <is>
          <t>B093</t>
        </is>
      </c>
      <c r="B37" t="inlineStr">
        <is>
          <t>B094</t>
        </is>
      </c>
      <c r="C37" t="n">
        <v>0.007</v>
      </c>
      <c r="D37" t="n">
        <v>0.001785</v>
      </c>
      <c r="E37" t="n">
        <v>280</v>
      </c>
      <c r="F37" t="n">
        <v>0</v>
      </c>
      <c r="G37" t="n">
        <v>48</v>
      </c>
      <c r="H37" t="n">
        <v>2</v>
      </c>
      <c r="I37">
        <f>0.05*1000</f>
        <v/>
      </c>
    </row>
    <row r="38">
      <c r="A38" t="inlineStr">
        <is>
          <t>B100</t>
        </is>
      </c>
      <c r="B38" t="inlineStr">
        <is>
          <t>B101</t>
        </is>
      </c>
      <c r="C38" t="n">
        <v>0.007</v>
      </c>
      <c r="D38" t="n">
        <v>0.001785</v>
      </c>
      <c r="E38" t="n">
        <v>280</v>
      </c>
      <c r="F38" t="n">
        <v>0</v>
      </c>
      <c r="G38" t="n">
        <v>49</v>
      </c>
      <c r="H38" t="n">
        <v>3</v>
      </c>
      <c r="I38">
        <f>0.05*1000</f>
        <v/>
      </c>
    </row>
    <row r="39">
      <c r="A39" t="inlineStr">
        <is>
          <t>B101</t>
        </is>
      </c>
      <c r="B39" t="inlineStr">
        <is>
          <t>B102</t>
        </is>
      </c>
      <c r="C39" t="n">
        <v>0.007</v>
      </c>
      <c r="D39" t="n">
        <v>0.001785</v>
      </c>
      <c r="E39" t="n">
        <v>280</v>
      </c>
      <c r="F39" t="n">
        <v>0</v>
      </c>
      <c r="G39" t="n">
        <v>50</v>
      </c>
      <c r="H39" t="n">
        <v>3</v>
      </c>
      <c r="I39">
        <f>0.05*1000</f>
        <v/>
      </c>
    </row>
    <row r="40">
      <c r="A40" t="inlineStr">
        <is>
          <t>B102</t>
        </is>
      </c>
      <c r="B40" t="inlineStr">
        <is>
          <t>B103</t>
        </is>
      </c>
      <c r="C40" t="n">
        <v>0.007</v>
      </c>
      <c r="D40" t="n">
        <v>0.001785</v>
      </c>
      <c r="E40" t="n">
        <v>280</v>
      </c>
      <c r="F40" t="n">
        <v>0</v>
      </c>
      <c r="G40" t="n">
        <v>51</v>
      </c>
      <c r="H40" t="n">
        <v>3</v>
      </c>
      <c r="I40">
        <f>0.05*1000</f>
        <v/>
      </c>
    </row>
    <row r="41">
      <c r="A41" t="inlineStr">
        <is>
          <t>B103</t>
        </is>
      </c>
      <c r="B41" t="inlineStr">
        <is>
          <t>B104</t>
        </is>
      </c>
      <c r="C41" t="n">
        <v>0.007</v>
      </c>
      <c r="D41" t="n">
        <v>0.001785</v>
      </c>
      <c r="E41" t="n">
        <v>280</v>
      </c>
      <c r="F41" t="n">
        <v>0</v>
      </c>
      <c r="G41" t="n">
        <v>52</v>
      </c>
      <c r="H41" t="n">
        <v>3</v>
      </c>
      <c r="I41">
        <f>0.05*1000</f>
        <v/>
      </c>
    </row>
    <row r="42">
      <c r="A42" t="inlineStr">
        <is>
          <t>B110</t>
        </is>
      </c>
      <c r="B42" t="inlineStr">
        <is>
          <t>B111</t>
        </is>
      </c>
      <c r="C42" t="n">
        <v>0.007</v>
      </c>
      <c r="D42" t="n">
        <v>0.001785</v>
      </c>
      <c r="E42" t="n">
        <v>280</v>
      </c>
      <c r="F42" t="n">
        <v>0</v>
      </c>
      <c r="G42" t="n">
        <v>53</v>
      </c>
      <c r="H42" t="n">
        <v>2</v>
      </c>
      <c r="I42">
        <f>0.05*1000</f>
        <v/>
      </c>
    </row>
    <row r="43">
      <c r="A43" t="inlineStr">
        <is>
          <t>B111</t>
        </is>
      </c>
      <c r="B43" t="inlineStr">
        <is>
          <t>B112</t>
        </is>
      </c>
      <c r="C43" t="n">
        <v>0.007</v>
      </c>
      <c r="D43" t="n">
        <v>0.001785</v>
      </c>
      <c r="E43" t="n">
        <v>280</v>
      </c>
      <c r="F43" t="n">
        <v>0</v>
      </c>
      <c r="G43" t="n">
        <v>54</v>
      </c>
      <c r="H43" t="n">
        <v>2</v>
      </c>
      <c r="I43">
        <f>0.05*1000</f>
        <v/>
      </c>
    </row>
    <row r="44">
      <c r="A44" t="inlineStr">
        <is>
          <t>B112</t>
        </is>
      </c>
      <c r="B44" t="inlineStr">
        <is>
          <t>B113</t>
        </is>
      </c>
      <c r="C44" t="n">
        <v>0.007</v>
      </c>
      <c r="D44" t="n">
        <v>0.001785</v>
      </c>
      <c r="E44" t="n">
        <v>280</v>
      </c>
      <c r="F44" t="n">
        <v>0</v>
      </c>
      <c r="G44" t="n">
        <v>55</v>
      </c>
      <c r="H44" t="n">
        <v>2</v>
      </c>
      <c r="I44">
        <f>0.05*1000</f>
        <v/>
      </c>
    </row>
    <row r="45">
      <c r="A45" t="inlineStr">
        <is>
          <t>B113</t>
        </is>
      </c>
      <c r="B45" t="inlineStr">
        <is>
          <t>B114</t>
        </is>
      </c>
      <c r="C45" t="n">
        <v>0.007</v>
      </c>
      <c r="D45" t="n">
        <v>0.001785</v>
      </c>
      <c r="E45" t="n">
        <v>280</v>
      </c>
      <c r="F45" t="n">
        <v>0</v>
      </c>
      <c r="G45" t="n">
        <v>56</v>
      </c>
      <c r="H45" t="n">
        <v>2</v>
      </c>
      <c r="I45">
        <f>0.05*1000</f>
        <v/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"/>
  <sheetViews>
    <sheetView workbookViewId="0">
      <selection activeCell="Q7" sqref="Q7"/>
    </sheetView>
  </sheetViews>
  <sheetFormatPr baseColWidth="8" defaultRowHeight="15"/>
  <sheetData>
    <row r="1">
      <c r="A1" t="inlineStr">
        <is>
          <t>trafo_id</t>
        </is>
      </c>
      <c r="B1" t="inlineStr">
        <is>
          <t>phases</t>
        </is>
      </c>
      <c r="C1" t="inlineStr">
        <is>
          <t>mv_bus</t>
        </is>
      </c>
      <c r="D1" t="inlineStr">
        <is>
          <t>lv_bus</t>
        </is>
      </c>
      <c r="E1" t="inlineStr">
        <is>
          <t>kv_mv</t>
        </is>
      </c>
      <c r="F1" t="inlineStr">
        <is>
          <t>kv_lv</t>
        </is>
      </c>
      <c r="G1" t="inlineStr">
        <is>
          <t>kva</t>
        </is>
      </c>
      <c r="H1" t="inlineStr">
        <is>
          <t>R_ohm</t>
        </is>
      </c>
      <c r="I1" t="inlineStr">
        <is>
          <t>X_ohm</t>
        </is>
      </c>
      <c r="J1" t="inlineStr">
        <is>
          <t>conn_mv</t>
        </is>
      </c>
      <c r="K1" t="inlineStr">
        <is>
          <t>conn_lv</t>
        </is>
      </c>
      <c r="L1" s="1" t="inlineStr">
        <is>
          <t>r_per</t>
        </is>
      </c>
      <c r="M1" s="1" t="inlineStr">
        <is>
          <t>XHL</t>
        </is>
      </c>
      <c r="N1" s="1" t="inlineStr">
        <is>
          <t>XLT</t>
        </is>
      </c>
      <c r="O1" s="1" t="inlineStr">
        <is>
          <t>XHL</t>
        </is>
      </c>
      <c r="P1" s="3" t="inlineStr">
        <is>
          <t>Perdas Vazio kW</t>
        </is>
      </c>
      <c r="Q1" s="3" t="inlineStr">
        <is>
          <t xml:space="preserve">Perdas Totais kW </t>
        </is>
      </c>
      <c r="R1" s="2" t="inlineStr">
        <is>
          <t>Comentario</t>
        </is>
      </c>
    </row>
    <row r="2">
      <c r="A2" t="inlineStr">
        <is>
          <t>Sub</t>
        </is>
      </c>
      <c r="B2" t="inlineStr">
        <is>
          <t>1,2,3</t>
        </is>
      </c>
      <c r="C2" t="inlineStr">
        <is>
          <t>SourceBus</t>
        </is>
      </c>
      <c r="D2" t="n">
        <v>650</v>
      </c>
      <c r="E2" s="4" t="n">
        <v>115</v>
      </c>
      <c r="F2" s="4" t="n">
        <v>4.16</v>
      </c>
      <c r="G2" s="4" t="n">
        <v>5000</v>
      </c>
      <c r="H2" s="4" t="n">
        <v>0.0069</v>
      </c>
      <c r="I2" s="4" t="n">
        <v>0.277</v>
      </c>
      <c r="J2" t="inlineStr">
        <is>
          <t>Delta</t>
        </is>
      </c>
      <c r="K2" t="inlineStr">
        <is>
          <t>Wye</t>
        </is>
      </c>
      <c r="L2" s="4" t="n">
        <v>0.1</v>
      </c>
      <c r="M2" s="4" t="n">
        <v>8</v>
      </c>
      <c r="N2" s="4" t="n">
        <v>4</v>
      </c>
      <c r="O2" s="4" t="n">
        <v>4</v>
      </c>
      <c r="P2" s="4" t="n">
        <v>0</v>
      </c>
      <c r="Q2" s="4" t="n">
        <v>0</v>
      </c>
      <c r="R2" t="inlineStr">
        <is>
          <t>Sub , conexao delta y</t>
        </is>
      </c>
    </row>
    <row r="3">
      <c r="A3" t="inlineStr">
        <is>
          <t>XFM01</t>
        </is>
      </c>
      <c r="B3" t="inlineStr">
        <is>
          <t>1,2,3</t>
        </is>
      </c>
      <c r="C3" t="n">
        <v>633</v>
      </c>
      <c r="D3" t="inlineStr">
        <is>
          <t>B010</t>
        </is>
      </c>
      <c r="E3" s="4" t="n">
        <v>4.16</v>
      </c>
      <c r="F3" s="4" t="n">
        <v>0.48</v>
      </c>
      <c r="G3" s="4" t="n">
        <v>500</v>
      </c>
      <c r="H3" s="4" t="n">
        <v>0.00507</v>
      </c>
      <c r="I3" s="4" t="n">
        <v>0.009216</v>
      </c>
      <c r="J3" t="inlineStr">
        <is>
          <t>Wye</t>
        </is>
      </c>
      <c r="K3" t="inlineStr">
        <is>
          <t>Wye</t>
        </is>
      </c>
      <c r="L3" s="4" t="n">
        <v>0.55</v>
      </c>
      <c r="M3" s="4" t="n">
        <v>0</v>
      </c>
      <c r="N3" s="4" t="n">
        <v>1</v>
      </c>
      <c r="O3" s="4" t="n">
        <v>0</v>
      </c>
      <c r="P3" s="4" t="n">
        <v>1.8</v>
      </c>
      <c r="Q3" s="4" t="n">
        <v>9</v>
      </c>
      <c r="R3" t="inlineStr">
        <is>
          <t>XLT = 1 para perdas: https://www.weg.net/catalog/weg/BR/pt/IP00/Transformador-Seco-500-0kVA-13-8-0-22kV-CST-IP-00-AN/p/14543073</t>
        </is>
      </c>
    </row>
    <row r="4">
      <c r="A4" t="inlineStr">
        <is>
          <t>XFM02</t>
        </is>
      </c>
      <c r="B4" t="inlineStr">
        <is>
          <t>1,2,3</t>
        </is>
      </c>
      <c r="C4" t="n">
        <v>675</v>
      </c>
      <c r="D4" t="inlineStr">
        <is>
          <t>B020</t>
        </is>
      </c>
      <c r="E4" s="4" t="n">
        <v>4.16</v>
      </c>
      <c r="F4" s="4" t="n">
        <v>0.48</v>
      </c>
      <c r="G4" s="4" t="n">
        <v>500</v>
      </c>
      <c r="H4" s="4" t="n">
        <v>0.00507</v>
      </c>
      <c r="I4" s="4" t="n">
        <v>0.009216</v>
      </c>
      <c r="J4" t="inlineStr">
        <is>
          <t>Wye</t>
        </is>
      </c>
      <c r="K4" t="inlineStr">
        <is>
          <t>Wye</t>
        </is>
      </c>
      <c r="L4" s="4" t="n">
        <v>0.55</v>
      </c>
      <c r="M4" s="4" t="n">
        <v>0</v>
      </c>
      <c r="N4" s="4" t="n">
        <v>1</v>
      </c>
      <c r="O4" s="4" t="n">
        <v>0</v>
      </c>
      <c r="P4" s="4" t="n">
        <v>1.8</v>
      </c>
      <c r="Q4" s="4" t="n">
        <v>9</v>
      </c>
      <c r="R4" t="inlineStr">
        <is>
          <t>XLT = 1</t>
        </is>
      </c>
    </row>
    <row r="5">
      <c r="A5" t="inlineStr">
        <is>
          <t>XFM03</t>
        </is>
      </c>
      <c r="B5" t="inlineStr">
        <is>
          <t>1,2,3</t>
        </is>
      </c>
      <c r="C5" t="n">
        <v>675</v>
      </c>
      <c r="D5" t="inlineStr">
        <is>
          <t>B030</t>
        </is>
      </c>
      <c r="E5" s="4" t="n">
        <v>4.16</v>
      </c>
      <c r="F5" s="4" t="n">
        <v>0.48</v>
      </c>
      <c r="G5" s="4" t="n">
        <v>500</v>
      </c>
      <c r="H5" s="4" t="n">
        <v>0.00507</v>
      </c>
      <c r="I5" s="4" t="n">
        <v>0.009216</v>
      </c>
      <c r="J5" t="inlineStr">
        <is>
          <t>Wye</t>
        </is>
      </c>
      <c r="K5" t="inlineStr">
        <is>
          <t>Wye</t>
        </is>
      </c>
      <c r="L5" s="4" t="n">
        <v>0.55</v>
      </c>
      <c r="M5" s="4" t="n">
        <v>0</v>
      </c>
      <c r="N5" s="4" t="n">
        <v>1</v>
      </c>
      <c r="O5" s="4" t="n">
        <v>0</v>
      </c>
      <c r="P5" s="4" t="n">
        <v>1.8</v>
      </c>
      <c r="Q5" s="4" t="n">
        <v>9</v>
      </c>
      <c r="R5" t="inlineStr">
        <is>
          <t>XLT = 1</t>
        </is>
      </c>
    </row>
    <row r="6">
      <c r="A6" t="inlineStr">
        <is>
          <t>XFM04</t>
        </is>
      </c>
      <c r="B6" t="inlineStr">
        <is>
          <t>1,2,3</t>
        </is>
      </c>
      <c r="C6" t="n">
        <v>680</v>
      </c>
      <c r="D6" t="inlineStr">
        <is>
          <t>B040</t>
        </is>
      </c>
      <c r="E6" s="4" t="n">
        <v>4.16</v>
      </c>
      <c r="F6" s="4" t="n">
        <v>0.48</v>
      </c>
      <c r="G6" s="4" t="n">
        <v>500</v>
      </c>
      <c r="H6" s="4" t="n">
        <v>0.00507</v>
      </c>
      <c r="I6" s="4" t="n">
        <v>0.009216</v>
      </c>
      <c r="J6" t="inlineStr">
        <is>
          <t>Wye</t>
        </is>
      </c>
      <c r="K6" t="inlineStr">
        <is>
          <t>Wye</t>
        </is>
      </c>
      <c r="L6" s="4" t="n">
        <v>0.55</v>
      </c>
      <c r="M6" s="4" t="n">
        <v>0</v>
      </c>
      <c r="N6" s="4" t="n">
        <v>1</v>
      </c>
      <c r="O6" s="4" t="n">
        <v>0</v>
      </c>
      <c r="P6" s="4" t="n">
        <v>1.8</v>
      </c>
      <c r="Q6" s="4" t="n">
        <v>9</v>
      </c>
      <c r="R6" t="inlineStr">
        <is>
          <t>XLT = 1</t>
        </is>
      </c>
    </row>
    <row r="7">
      <c r="A7" t="inlineStr">
        <is>
          <t>XFM05</t>
        </is>
      </c>
      <c r="B7" t="inlineStr">
        <is>
          <t>1,2,3</t>
        </is>
      </c>
      <c r="C7" t="n">
        <v>671</v>
      </c>
      <c r="D7" t="inlineStr">
        <is>
          <t>B050</t>
        </is>
      </c>
      <c r="E7" s="4" t="n">
        <v>4.16</v>
      </c>
      <c r="F7" s="4" t="n">
        <v>0.48</v>
      </c>
      <c r="G7" s="4" t="n">
        <v>500</v>
      </c>
      <c r="H7" s="4" t="n">
        <v>0.00507</v>
      </c>
      <c r="I7" s="4" t="n">
        <v>0.009216</v>
      </c>
      <c r="J7" t="inlineStr">
        <is>
          <t>Wye</t>
        </is>
      </c>
      <c r="K7" t="inlineStr">
        <is>
          <t>Wye</t>
        </is>
      </c>
      <c r="L7" s="4" t="n">
        <v>0.55</v>
      </c>
      <c r="M7" s="4" t="n">
        <v>0</v>
      </c>
      <c r="N7" s="4" t="n">
        <v>1</v>
      </c>
      <c r="O7" s="4" t="n">
        <v>0</v>
      </c>
      <c r="P7" s="4" t="n">
        <v>1.8</v>
      </c>
      <c r="Q7" s="4" t="n">
        <v>9</v>
      </c>
      <c r="R7" t="inlineStr">
        <is>
          <t>XLT = 1</t>
        </is>
      </c>
    </row>
    <row r="8">
      <c r="A8" t="inlineStr">
        <is>
          <t>XFM06</t>
        </is>
      </c>
      <c r="B8" t="n">
        <v>1</v>
      </c>
      <c r="C8" t="n">
        <v>692</v>
      </c>
      <c r="D8" t="inlineStr">
        <is>
          <t>B060</t>
        </is>
      </c>
      <c r="E8" s="4" t="n">
        <v>2.4</v>
      </c>
      <c r="F8" s="4" t="n">
        <v>0.277</v>
      </c>
      <c r="G8" s="4" t="n">
        <v>150</v>
      </c>
      <c r="H8" s="4" t="n">
        <v>0.005627</v>
      </c>
      <c r="I8" s="4" t="n">
        <v>0.010231</v>
      </c>
      <c r="J8" t="n">
        <v>0</v>
      </c>
      <c r="K8" t="n">
        <v>0</v>
      </c>
      <c r="L8" s="4" t="n">
        <v>0.55</v>
      </c>
      <c r="M8" s="4" t="n">
        <v>0</v>
      </c>
      <c r="N8" s="4" t="n">
        <v>1</v>
      </c>
      <c r="O8" s="4" t="n">
        <v>0</v>
      </c>
      <c r="P8" s="4" t="n">
        <v>0.825</v>
      </c>
      <c r="Q8" s="4" t="n">
        <v>1.28</v>
      </c>
      <c r="R8" t="inlineStr">
        <is>
          <t>XLT = 1 / Trafo monofasico, ligacao 0 porque não é importante. Perdas foram calculadas assumindo valores tipicos</t>
        </is>
      </c>
    </row>
    <row r="9">
      <c r="A9" t="inlineStr">
        <is>
          <t>XFM07</t>
        </is>
      </c>
      <c r="B9" t="n">
        <v>1</v>
      </c>
      <c r="C9" t="n">
        <v>652</v>
      </c>
      <c r="D9" t="inlineStr">
        <is>
          <t>B070</t>
        </is>
      </c>
      <c r="E9" s="4" t="n">
        <v>2.4</v>
      </c>
      <c r="F9" s="4" t="n">
        <v>0.277</v>
      </c>
      <c r="G9" s="4" t="n">
        <v>150</v>
      </c>
      <c r="H9" s="4" t="n">
        <v>0.005627</v>
      </c>
      <c r="I9" s="4" t="n">
        <v>0.010231</v>
      </c>
      <c r="J9" t="n">
        <v>0</v>
      </c>
      <c r="K9" t="n">
        <v>0</v>
      </c>
      <c r="L9" s="4" t="n">
        <v>0.55</v>
      </c>
      <c r="M9" s="4" t="n">
        <v>0</v>
      </c>
      <c r="N9" s="4" t="n">
        <v>1</v>
      </c>
      <c r="O9" s="4" t="n">
        <v>0</v>
      </c>
      <c r="P9" s="4" t="n">
        <v>0.825</v>
      </c>
      <c r="Q9" s="4" t="n">
        <v>1.28</v>
      </c>
      <c r="R9" t="inlineStr">
        <is>
          <t>XLT = 1 / Trafo monofasico, ligacao 0 porque não é importante</t>
        </is>
      </c>
    </row>
    <row r="10">
      <c r="A10" t="inlineStr">
        <is>
          <t>XFM08</t>
        </is>
      </c>
      <c r="B10" t="n">
        <v>3</v>
      </c>
      <c r="C10" t="n">
        <v>611</v>
      </c>
      <c r="D10" t="inlineStr">
        <is>
          <t>B080</t>
        </is>
      </c>
      <c r="E10" s="4" t="n">
        <v>2.4</v>
      </c>
      <c r="F10" s="4" t="n">
        <v>0.277</v>
      </c>
      <c r="G10" s="4" t="n">
        <v>150</v>
      </c>
      <c r="H10" s="4" t="n">
        <v>0.005627</v>
      </c>
      <c r="I10" s="4" t="n">
        <v>0.010231</v>
      </c>
      <c r="J10" t="n">
        <v>0</v>
      </c>
      <c r="K10" t="n">
        <v>0</v>
      </c>
      <c r="L10" s="4" t="n">
        <v>0.55</v>
      </c>
      <c r="M10" s="4" t="n">
        <v>0</v>
      </c>
      <c r="N10" s="4" t="n">
        <v>1</v>
      </c>
      <c r="O10" s="4" t="n">
        <v>0</v>
      </c>
      <c r="P10" s="4" t="n">
        <v>0.825</v>
      </c>
      <c r="Q10" s="4" t="n">
        <v>1.28</v>
      </c>
      <c r="R10" t="inlineStr">
        <is>
          <t>XLT = 1 / Trafo monofasico, ligacao 0 porque não é importante</t>
        </is>
      </c>
    </row>
    <row r="11">
      <c r="A11" t="inlineStr">
        <is>
          <t>XFM09</t>
        </is>
      </c>
      <c r="B11" t="n">
        <v>2</v>
      </c>
      <c r="C11" t="n">
        <v>646</v>
      </c>
      <c r="D11" t="inlineStr">
        <is>
          <t>B090</t>
        </is>
      </c>
      <c r="E11" s="4" t="n">
        <v>2.4</v>
      </c>
      <c r="F11" s="4" t="n">
        <v>0.277</v>
      </c>
      <c r="G11" s="4" t="n">
        <v>150</v>
      </c>
      <c r="H11" s="4" t="n">
        <v>0.005627</v>
      </c>
      <c r="I11" s="4" t="n">
        <v>0.010231</v>
      </c>
      <c r="J11" t="n">
        <v>0</v>
      </c>
      <c r="K11" t="n">
        <v>0</v>
      </c>
      <c r="L11" s="4" t="n">
        <v>0.55</v>
      </c>
      <c r="M11" s="4" t="n">
        <v>0</v>
      </c>
      <c r="N11" s="4" t="n">
        <v>1</v>
      </c>
      <c r="O11" s="4" t="n">
        <v>0</v>
      </c>
      <c r="P11" s="4" t="n">
        <v>0.825</v>
      </c>
      <c r="Q11" s="4" t="n">
        <v>1.28</v>
      </c>
      <c r="R11" t="inlineStr">
        <is>
          <t>XLT = 1 / Trafo monofasico, ligacao 0 porque não é importante</t>
        </is>
      </c>
    </row>
    <row r="12">
      <c r="A12" t="inlineStr">
        <is>
          <t>XFM10</t>
        </is>
      </c>
      <c r="B12" t="n">
        <v>3</v>
      </c>
      <c r="C12" t="n">
        <v>646</v>
      </c>
      <c r="D12" t="inlineStr">
        <is>
          <t>B100</t>
        </is>
      </c>
      <c r="E12" s="4" t="n">
        <v>2.4</v>
      </c>
      <c r="F12" s="4" t="n">
        <v>0.277</v>
      </c>
      <c r="G12" s="4" t="n">
        <v>150</v>
      </c>
      <c r="H12" s="4" t="n">
        <v>0.005627</v>
      </c>
      <c r="I12" s="4" t="n">
        <v>0.010231</v>
      </c>
      <c r="J12" t="n">
        <v>0</v>
      </c>
      <c r="K12" t="n">
        <v>0</v>
      </c>
      <c r="L12" s="4" t="n">
        <v>0.55</v>
      </c>
      <c r="M12" s="4" t="n">
        <v>0</v>
      </c>
      <c r="N12" s="4" t="n">
        <v>1</v>
      </c>
      <c r="O12" s="4" t="n">
        <v>0</v>
      </c>
      <c r="P12" s="4" t="n">
        <v>0.825</v>
      </c>
      <c r="Q12" s="4" t="n">
        <v>1.28</v>
      </c>
      <c r="R12" t="inlineStr">
        <is>
          <t>XLT = 1 / Trafo monofasico, ligacao 0 porque não é importante</t>
        </is>
      </c>
    </row>
    <row r="13">
      <c r="A13" t="inlineStr">
        <is>
          <t>XFM11</t>
        </is>
      </c>
      <c r="B13" t="n">
        <v>2</v>
      </c>
      <c r="C13" t="n">
        <v>645</v>
      </c>
      <c r="D13" t="inlineStr">
        <is>
          <t>B110</t>
        </is>
      </c>
      <c r="E13" s="4" t="n">
        <v>2.4</v>
      </c>
      <c r="F13" s="4" t="n">
        <v>0.277</v>
      </c>
      <c r="G13" s="4" t="n">
        <v>150</v>
      </c>
      <c r="H13" s="4" t="n">
        <v>0.005627</v>
      </c>
      <c r="I13" s="4" t="n">
        <v>0.010231</v>
      </c>
      <c r="J13" t="n">
        <v>0</v>
      </c>
      <c r="K13" t="n">
        <v>0</v>
      </c>
      <c r="L13" s="4" t="n">
        <v>0.55</v>
      </c>
      <c r="M13" s="4" t="n">
        <v>0</v>
      </c>
      <c r="N13" s="4" t="n">
        <v>1</v>
      </c>
      <c r="O13" s="4" t="n">
        <v>0</v>
      </c>
      <c r="P13" s="4" t="n">
        <v>0.825</v>
      </c>
      <c r="Q13" s="4" t="n">
        <v>1.28</v>
      </c>
      <c r="R13" t="inlineStr">
        <is>
          <t>XLT = 1 / Trafo monofasico, ligacao 0 porque não é importante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C2" sqref="C2:C4"/>
    </sheetView>
  </sheetViews>
  <sheetFormatPr baseColWidth="8" defaultRowHeight="15"/>
  <sheetData>
    <row r="1">
      <c r="A1" t="inlineStr">
        <is>
          <t>trafo_id</t>
        </is>
      </c>
      <c r="B1" t="inlineStr">
        <is>
          <t>phases</t>
        </is>
      </c>
      <c r="C1" t="inlineStr">
        <is>
          <t>mv_bus</t>
        </is>
      </c>
      <c r="D1" t="inlineStr">
        <is>
          <t>lv_bus</t>
        </is>
      </c>
      <c r="E1" t="inlineStr">
        <is>
          <t>kv_mv</t>
        </is>
      </c>
      <c r="F1" t="inlineStr">
        <is>
          <t>kv_lv</t>
        </is>
      </c>
      <c r="G1" t="inlineStr">
        <is>
          <t>kva</t>
        </is>
      </c>
      <c r="H1" t="inlineStr">
        <is>
          <t>R_ohm</t>
        </is>
      </c>
      <c r="I1" t="inlineStr">
        <is>
          <t>X_ohm</t>
        </is>
      </c>
      <c r="J1" t="inlineStr">
        <is>
          <t>ptratio_V</t>
        </is>
      </c>
      <c r="K1" t="inlineStr">
        <is>
          <t>ctprim_A</t>
        </is>
      </c>
      <c r="L1" s="1" t="inlineStr">
        <is>
          <t>r_LDC_V</t>
        </is>
      </c>
      <c r="M1" s="1" t="inlineStr">
        <is>
          <t>X_LDC_V</t>
        </is>
      </c>
      <c r="N1" s="1" t="inlineStr">
        <is>
          <t>vreg_V</t>
        </is>
      </c>
      <c r="O1" s="1" t="inlineStr">
        <is>
          <t>band_V</t>
        </is>
      </c>
      <c r="P1" s="3" t="inlineStr">
        <is>
          <t>LoadLoss_per</t>
        </is>
      </c>
      <c r="Q1" s="3" t="inlineStr">
        <is>
          <t>Delay_s</t>
        </is>
      </c>
      <c r="R1" s="3" t="inlineStr">
        <is>
          <t>maxtapchange</t>
        </is>
      </c>
      <c r="S1" s="3" t="inlineStr">
        <is>
          <t>tapdelay_s</t>
        </is>
      </c>
      <c r="T1" s="3" t="inlineStr">
        <is>
          <t>TapNum</t>
        </is>
      </c>
      <c r="U1" s="3" t="inlineStr">
        <is>
          <t>Step</t>
        </is>
      </c>
      <c r="V1" s="3" t="inlineStr">
        <is>
          <t>Taps</t>
        </is>
      </c>
      <c r="W1" s="2" t="inlineStr">
        <is>
          <t>Comentario</t>
        </is>
      </c>
    </row>
    <row r="2">
      <c r="A2" t="inlineStr">
        <is>
          <t>Reg1</t>
        </is>
      </c>
      <c r="B2" t="n">
        <v>1</v>
      </c>
      <c r="C2" t="n">
        <v>650</v>
      </c>
      <c r="D2" t="inlineStr">
        <is>
          <t>RG60</t>
        </is>
      </c>
      <c r="E2" t="n">
        <v>2.4</v>
      </c>
      <c r="F2" t="n">
        <v>2.4</v>
      </c>
      <c r="G2" t="n">
        <v>1666</v>
      </c>
      <c r="H2" t="n">
        <v>0.004321728691476591</v>
      </c>
      <c r="I2" t="n">
        <v>0.01296518607442977</v>
      </c>
      <c r="J2" t="n">
        <v>20</v>
      </c>
      <c r="K2" t="n">
        <v>700</v>
      </c>
      <c r="L2" t="n">
        <v>3</v>
      </c>
      <c r="M2" t="n">
        <v>9</v>
      </c>
      <c r="N2" t="n">
        <v>122</v>
      </c>
      <c r="O2" t="n">
        <v>2</v>
      </c>
      <c r="P2" t="n">
        <v>0.01</v>
      </c>
      <c r="Q2" t="n">
        <v>15</v>
      </c>
      <c r="R2" t="n">
        <v>16</v>
      </c>
      <c r="S2" t="n">
        <v>2</v>
      </c>
      <c r="T2" t="n">
        <v>33</v>
      </c>
      <c r="U2" t="n">
        <v>0.00625</v>
      </c>
      <c r="V2" t="inlineStr">
        <is>
          <t>[1 1.031]</t>
        </is>
      </c>
      <c r="W2" t="inlineStr">
        <is>
          <t>SVR, padrão/ Taps = Array of per unit taps for windings [1,2,…]</t>
        </is>
      </c>
    </row>
    <row r="3">
      <c r="A3" t="inlineStr">
        <is>
          <t>Reg2</t>
        </is>
      </c>
      <c r="B3" t="n">
        <v>2</v>
      </c>
      <c r="C3" t="n">
        <v>650</v>
      </c>
      <c r="D3" t="inlineStr">
        <is>
          <t>RG60</t>
        </is>
      </c>
      <c r="E3" t="n">
        <v>2.4</v>
      </c>
      <c r="F3" t="n">
        <v>2.4</v>
      </c>
      <c r="G3" t="n">
        <v>1666</v>
      </c>
      <c r="H3" t="n">
        <v>0.004321728691476591</v>
      </c>
      <c r="I3" t="n">
        <v>0.01296518607442977</v>
      </c>
      <c r="J3" t="n">
        <v>20</v>
      </c>
      <c r="K3" t="n">
        <v>700</v>
      </c>
      <c r="L3" t="n">
        <v>3</v>
      </c>
      <c r="M3" t="n">
        <v>9</v>
      </c>
      <c r="N3" t="n">
        <v>122</v>
      </c>
      <c r="O3" t="n">
        <v>2</v>
      </c>
      <c r="P3" t="n">
        <v>0.01</v>
      </c>
      <c r="Q3" t="n">
        <v>15</v>
      </c>
      <c r="R3" t="n">
        <v>16</v>
      </c>
      <c r="S3" t="n">
        <v>2</v>
      </c>
      <c r="T3" t="n">
        <v>33</v>
      </c>
      <c r="U3" t="n">
        <v>0.00625</v>
      </c>
      <c r="V3" t="inlineStr">
        <is>
          <t>[1 1.031]</t>
        </is>
      </c>
      <c r="W3" t="inlineStr">
        <is>
          <t>SVR, padrão</t>
        </is>
      </c>
    </row>
    <row r="4">
      <c r="A4" t="inlineStr">
        <is>
          <t>Reg3</t>
        </is>
      </c>
      <c r="B4" t="n">
        <v>3</v>
      </c>
      <c r="C4" t="n">
        <v>650</v>
      </c>
      <c r="D4" t="inlineStr">
        <is>
          <t>RG60</t>
        </is>
      </c>
      <c r="E4" t="n">
        <v>2.4</v>
      </c>
      <c r="F4" t="n">
        <v>2.4</v>
      </c>
      <c r="G4" t="n">
        <v>1666</v>
      </c>
      <c r="H4" t="n">
        <v>0.004321728691476591</v>
      </c>
      <c r="I4" t="n">
        <v>0.01296518607442977</v>
      </c>
      <c r="J4" t="n">
        <v>20</v>
      </c>
      <c r="K4" t="n">
        <v>700</v>
      </c>
      <c r="L4" t="n">
        <v>3</v>
      </c>
      <c r="M4" t="n">
        <v>9</v>
      </c>
      <c r="N4" t="n">
        <v>122</v>
      </c>
      <c r="O4" t="n">
        <v>2</v>
      </c>
      <c r="P4" t="n">
        <v>0.01</v>
      </c>
      <c r="Q4" t="n">
        <v>15</v>
      </c>
      <c r="R4" t="n">
        <v>16</v>
      </c>
      <c r="S4" t="n">
        <v>2</v>
      </c>
      <c r="T4" t="n">
        <v>33</v>
      </c>
      <c r="U4" t="n">
        <v>0.00625</v>
      </c>
      <c r="V4" t="inlineStr">
        <is>
          <t>[1 1.031]</t>
        </is>
      </c>
      <c r="W4" t="inlineStr">
        <is>
          <t>SVR, padrão</t>
        </is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2026-01-19T11:17:26Z</dcterms:created>
  <dcterms:modified xmlns:dcterms="http://purl.org/dc/terms/" xmlns:xsi="http://www.w3.org/2001/XMLSchema-instance" xsi:type="dcterms:W3CDTF">2026-03-18T11:31:23Z</dcterms:modified>
  <cp:lastModifiedBy>Usuário</cp:lastModifiedBy>
</cp:coreProperties>
</file>